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c33b82907498b6f/Área de Trabalho/"/>
    </mc:Choice>
  </mc:AlternateContent>
  <xr:revisionPtr revIDLastSave="478" documentId="8_{CA0B9602-E385-4F50-9596-679E24A4DCA2}" xr6:coauthVersionLast="47" xr6:coauthVersionMax="47" xr10:uidLastSave="{83E597B0-AD31-4E1A-9736-ECB92FC665CB}"/>
  <bookViews>
    <workbookView xWindow="-120" yWindow="-120" windowWidth="20640" windowHeight="11040" tabRatio="79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8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7" i="3" l="1"/>
  <c r="E36" i="3"/>
  <c r="E25" i="3"/>
</calcChain>
</file>

<file path=xl/sharedStrings.xml><?xml version="1.0" encoding="utf-8"?>
<sst xmlns="http://schemas.openxmlformats.org/spreadsheetml/2006/main" count="2058" uniqueCount="341">
  <si>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</si>
  <si>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</si>
  <si>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</si>
  <si>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</si>
  <si>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</si>
  <si>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</si>
  <si>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</si>
  <si>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</si>
  <si>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</si>
  <si>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</si>
  <si>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</si>
  <si>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</si>
  <si>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</si>
  <si>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</si>
  <si>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</si>
  <si>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</si>
  <si>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</si>
  <si>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</si>
  <si>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</si>
  <si>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</si>
  <si>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</si>
  <si>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</si>
  <si>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</si>
  <si>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</si>
  <si>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</si>
  <si>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</si>
  <si>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</si>
  <si>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</si>
  <si>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</si>
  <si>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</si>
  <si>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</si>
  <si>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</si>
  <si>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</si>
  <si>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</si>
  <si>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</si>
  <si>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</si>
  <si>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</si>
  <si>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</si>
  <si>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</si>
  <si>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</si>
  <si>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</si>
  <si>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</si>
  <si>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</si>
  <si>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</si>
  <si>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</si>
  <si>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</si>
  <si>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</si>
  <si>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</si>
  <si>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</si>
  <si>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</si>
  <si>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</si>
  <si>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</si>
  <si>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</si>
  <si>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</si>
  <si>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</si>
  <si>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</si>
  <si>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</si>
  <si>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</si>
  <si>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</si>
  <si>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</si>
  <si>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</si>
  <si>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</si>
  <si>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</si>
  <si>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</si>
  <si>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</si>
  <si>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</si>
  <si>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</si>
  <si>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</si>
  <si>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</si>
  <si>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</si>
  <si>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</si>
  <si>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</si>
  <si>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</si>
  <si>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</si>
  <si>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</si>
  <si>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</si>
  <si>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</si>
  <si>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</si>
  <si>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</si>
  <si>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</si>
  <si>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</si>
  <si>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</si>
  <si>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</si>
  <si>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</si>
  <si>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</si>
  <si>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</si>
  <si>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</si>
  <si>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</si>
  <si>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</si>
  <si>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</si>
  <si>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</si>
  <si>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</si>
  <si>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</si>
  <si>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</si>
  <si>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</si>
  <si>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</si>
  <si>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</si>
  <si>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</si>
  <si>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</si>
  <si>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</si>
  <si>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</si>
  <si>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</si>
  <si>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</si>
  <si>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</si>
  <si>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</si>
  <si>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</si>
  <si>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</si>
  <si>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</si>
  <si>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</si>
  <si>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</si>
  <si>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</si>
  <si>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</si>
  <si>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</si>
  <si>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</si>
  <si>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</si>
  <si>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</si>
  <si>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</si>
  <si>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</si>
  <si>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</si>
  <si>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</si>
  <si>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</si>
  <si>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</si>
  <si>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</si>
  <si>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</si>
  <si>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</si>
  <si>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</si>
  <si>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</si>
  <si>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</si>
  <si>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</si>
  <si>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</si>
  <si>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</si>
  <si>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</si>
  <si>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</si>
  <si>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</si>
  <si>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</si>
  <si>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</si>
  <si>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</si>
  <si>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</si>
  <si>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</si>
  <si>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</si>
  <si>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</si>
  <si>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</si>
  <si>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</si>
  <si>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</si>
  <si>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</si>
  <si>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</si>
  <si>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</si>
  <si>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</si>
  <si>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</si>
  <si>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</si>
  <si>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</si>
  <si>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</si>
  <si>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</si>
  <si>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</si>
  <si>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</si>
  <si>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</si>
  <si>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</si>
  <si>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</si>
  <si>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</si>
  <si>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</si>
  <si>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</si>
  <si>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</si>
  <si>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</si>
  <si>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</si>
  <si>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</si>
  <si>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</si>
  <si>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</si>
  <si>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</si>
  <si>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</si>
  <si>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</si>
  <si>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</si>
  <si>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</si>
  <si>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</si>
  <si>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</si>
  <si>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</si>
  <si>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</si>
  <si>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</si>
  <si>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</si>
  <si>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</si>
  <si>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</si>
  <si>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</si>
  <si>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</si>
  <si>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</si>
  <si>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</si>
  <si>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</si>
  <si>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</si>
  <si>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</si>
  <si>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</si>
  <si>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</si>
  <si>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</si>
  <si>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</si>
  <si>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</si>
  <si>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</si>
  <si>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</si>
  <si>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</si>
  <si>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</si>
  <si>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</si>
  <si>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</si>
  <si>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</si>
  <si>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</si>
  <si>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</si>
  <si>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</si>
  <si>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</si>
  <si>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</si>
  <si>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</si>
  <si>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</si>
  <si>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</si>
  <si>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</si>
  <si>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</si>
  <si>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</si>
  <si>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</si>
  <si>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</si>
  <si>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</si>
  <si>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</si>
  <si>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</si>
  <si>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</si>
  <si>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</si>
  <si>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</si>
  <si>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</si>
  <si>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</si>
  <si>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</si>
  <si>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</si>
  <si>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</si>
  <si>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</si>
  <si>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</si>
  <si>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</si>
  <si>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</si>
  <si>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</si>
  <si>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</si>
  <si>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</si>
  <si>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</si>
  <si>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</si>
  <si>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</si>
  <si>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</si>
  <si>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</si>
  <si>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</si>
  <si>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</si>
  <si>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</si>
  <si>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</si>
  <si>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</si>
  <si>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</si>
  <si>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</si>
  <si>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</si>
  <si>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</si>
  <si>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</si>
  <si>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</si>
  <si>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</si>
  <si>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</si>
  <si>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</si>
  <si>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</si>
  <si>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</si>
  <si>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</si>
  <si>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</si>
  <si>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</si>
  <si>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</si>
  <si>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</si>
  <si>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</si>
  <si>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</si>
  <si>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</si>
  <si>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</si>
  <si>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</si>
  <si>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</si>
  <si>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</si>
  <si>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</si>
  <si>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</si>
  <si>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</si>
  <si>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</si>
  <si>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</si>
  <si>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</si>
  <si>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</si>
  <si>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</si>
  <si>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</si>
  <si>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</si>
  <si>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</si>
  <si>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</si>
  <si>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</si>
  <si>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</si>
  <si>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</si>
  <si>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</si>
  <si>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</si>
  <si>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</si>
  <si>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</si>
  <si>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</si>
  <si>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</si>
  <si>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</si>
  <si>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</si>
  <si>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</si>
  <si>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</si>
  <si>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</si>
  <si>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</si>
  <si>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</si>
  <si>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</si>
  <si>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</si>
  <si>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</si>
  <si>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</si>
  <si>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</si>
  <si>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</si>
  <si>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</si>
  <si>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</si>
  <si>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</si>
  <si>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</si>
  <si>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</si>
  <si>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</si>
  <si>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</si>
  <si>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</si>
  <si>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</si>
  <si>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</si>
  <si>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</si>
  <si>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</si>
  <si>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Rótulos de Linha</t>
  </si>
  <si>
    <t>Total Geral</t>
  </si>
  <si>
    <t>Soma de Minecraft Season Pass Price</t>
  </si>
  <si>
    <t>EA Play Season Pass</t>
  </si>
  <si>
    <t>EA Play Season Pass
Price</t>
  </si>
  <si>
    <t>-</t>
  </si>
  <si>
    <t>Subscription Price</t>
  </si>
  <si>
    <t>Soma de EA Play Season Pass</t>
  </si>
  <si>
    <t>É uma pergunta de negócio respondida através de alguma análise de dado específica</t>
  </si>
  <si>
    <r>
      <t xml:space="preserve">Pergunta de Negócio 1 -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</si>
  <si>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t>Soma de Total Value</t>
  </si>
  <si>
    <r>
      <t>Pergunta de Negócio 2 - Qual Faturamento</t>
    </r>
    <r>
      <rPr>
        <b/>
        <sz val="11"/>
        <color theme="1"/>
        <rFont val="Aptos Narrow"/>
        <family val="2"/>
        <scheme val="minor"/>
      </rPr>
      <t xml:space="preserve"> Total de vendas</t>
    </r>
    <r>
      <rPr>
        <sz val="11"/>
        <color theme="1"/>
        <rFont val="Aptos Narrow"/>
        <family val="2"/>
        <scheme val="minor"/>
      </rPr>
      <t xml:space="preserve"> de</t>
    </r>
    <r>
      <rPr>
        <b/>
        <sz val="11"/>
        <color theme="1"/>
        <rFont val="Aptos Narrow"/>
        <family val="2"/>
        <scheme val="minor"/>
      </rPr>
      <t xml:space="preserve"> planos anuais</t>
    </r>
    <r>
      <rPr>
        <sz val="11"/>
        <color theme="1"/>
        <rFont val="Aptos Narrow"/>
        <family val="2"/>
        <scheme val="minor"/>
      </rPr>
      <t xml:space="preserve"> , separado por auto renovação não é por auto renovação</t>
    </r>
  </si>
  <si>
    <t>Pergunta Negócio 3 - Total de Vendas de Assinaturas do EA Play</t>
  </si>
  <si>
    <t>Pergunta Negócio 4 - Total de Vendas de Assinaturas do Minecraft Season Pass</t>
  </si>
  <si>
    <t xml:space="preserve"> XBOX GAME PASS SUBSCRIPTIONS SALES</t>
  </si>
  <si>
    <t>(Tudo)</t>
  </si>
  <si>
    <t>Contagem de Auto Renewal</t>
  </si>
  <si>
    <t>Rótulos de Coluna</t>
  </si>
  <si>
    <r>
      <t xml:space="preserve">Pergunta de negócio 5 - Qual </t>
    </r>
    <r>
      <rPr>
        <b/>
        <sz val="11"/>
        <color theme="1"/>
        <rFont val="Aptos Narrow"/>
        <family val="2"/>
        <scheme val="minor"/>
      </rPr>
      <t>plano e tipo</t>
    </r>
    <r>
      <rPr>
        <sz val="11"/>
        <color theme="1"/>
        <rFont val="Aptos Narrow"/>
        <family val="2"/>
        <scheme val="minor"/>
      </rPr>
      <t xml:space="preserve"> de inscrição tem renovação ativa maior do que a não ativa?</t>
    </r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</si>
  <si>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</si>
  <si>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</si>
  <si>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</si>
  <si>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</si>
  <si>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</si>
  <si>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</si>
  <si>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</si>
  <si>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</si>
  <si>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</si>
  <si>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</si>
  <si>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</si>
  <si>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</si>
  <si>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Pergunta de negócio 6 - Qual foi o mês que deu mais renda líquida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</si>
</sst>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7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5"/>
      <color theme="3"/>
      <name val="Segoe UI"/>
      <family val="2"/>
    </font>
    <font>
      <b/>
      <sz val="15"/>
      <color rgb="FF22C55E"/>
      <name val="Segoe UI"/>
      <family val="2"/>
    </font>
  </fonts>
  <fills count="10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  <border>
      <left/>
      <right/>
      <top style="thin">
        <color theme="4" tint="0.39997558519241921"/>
      </top>
      <bottom/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8" borderId="0" applyNumberFormat="0" applyBorder="0" applyAlignment="0" applyProtection="0"/>
  </cellStyleXfs>
  <cellXfs count="27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44" fontId="0" fillId="0" borderId="0" xfId="0" applyNumberFormat="1"/>
    <xf numFmtId="0" fontId="0" fillId="0" borderId="0" xfId="0" applyAlignment="1">
      <alignment horizontal="left"/>
    </xf>
    <xf numFmtId="0" fontId="5" fillId="0" borderId="2" xfId="1" applyFont="1" applyBorder="1"/>
    <xf numFmtId="44" fontId="0" fillId="0" borderId="0" xfId="2" applyFont="1"/>
    <xf numFmtId="0" fontId="0" fillId="0" borderId="2" xfId="0" applyBorder="1"/>
    <xf numFmtId="0" fontId="6" fillId="0" borderId="2" xfId="1" applyFont="1" applyBorder="1" applyAlignment="1">
      <alignment horizontal="left" indent="7"/>
    </xf>
    <xf numFmtId="0" fontId="4" fillId="8" borderId="0" xfId="3" applyAlignment="1">
      <alignment horizontal="center"/>
    </xf>
    <xf numFmtId="0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0" xfId="2" applyNumberFormat="1" applyFont="1"/>
    <xf numFmtId="44" fontId="3" fillId="9" borderId="3" xfId="0" applyNumberFormat="1" applyFont="1" applyFill="1" applyBorder="1"/>
  </cellXfs>
  <cellStyles count="4">
    <cellStyle name="Moeda" xfId="2" builtinId="4"/>
    <cellStyle name="Neutro" xfId="3" builtinId="28"/>
    <cellStyle name="Normal" xfId="0" builtinId="0"/>
    <cellStyle name="Título 1" xfId="1" builtinId="16"/>
  </cellStyles>
  <dxfs count="43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7812454B-9EBD-4F72-9068-FA94BE9FF08F}">
      <tableStyleElement type="wholeTable" dxfId="42"/>
      <tableStyleElement type="headerRow" dxfId="41"/>
    </tableStyle>
  </tableStyles>
  <colors>
    <mruColors>
      <color rgb="FF22C55E"/>
      <color rgb="FF5BF6A8"/>
      <color rgb="FFE8E6E9"/>
      <color rgb="FF2AE6B1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[Dashboard_Xbox.xlsx]C̳álculos!tbl_annual_total</c:name>
    <c:fmtId val="4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22C55E"/>
          </a:solidFill>
          <a:ln>
            <a:noFill/>
          </a:ln>
          <a:effectLst/>
        </c:spPr>
        <c:dLbl>
          <c:idx val="0"/>
          <c:layout>
            <c:manualLayout>
              <c:x val="0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05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10746822441324326"/>
          <c:y val="2.7347812643473534E-3"/>
          <c:w val="0.89169391938497899"/>
          <c:h val="0.9087259196827294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0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50" b="0" i="0" u="none" strike="noStrike" kern="1200" baseline="0">
                      <a:solidFill>
                        <a:srgbClr val="00B05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0-587A-40C7-8E84-51356B2DCAD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_("R$"* #,##0.00_);_("R$"* \(#,##0.00\);_("R$"* "-"??_);_(@_)</c:formatCode>
                <c:ptCount val="2"/>
                <c:pt idx="0">
                  <c:v>3847</c:v>
                </c:pt>
                <c:pt idx="1">
                  <c:v>3786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2C-4DD0-B84D-7AA9DC08E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96661440"/>
        <c:axId val="896665760"/>
      </c:barChart>
      <c:catAx>
        <c:axId val="896661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6665760"/>
        <c:crosses val="autoZero"/>
        <c:auto val="1"/>
        <c:lblAlgn val="ctr"/>
        <c:lblOffset val="100"/>
        <c:noMultiLvlLbl val="0"/>
      </c:catAx>
      <c:valAx>
        <c:axId val="896665760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96661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[Dashboard_Xbox.xlsx]C̳álculos!Tabela dinâmica3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0000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22C55E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FF0000"/>
          </a:solidFill>
          <a:ln>
            <a:noFill/>
          </a:ln>
          <a:effectLst/>
          <a:sp3d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4A96D038-18D0-46B1-9346-0CD71A4A1D09}" type="VALUE">
                  <a:rPr lang="en-US">
                    <a:solidFill>
                      <a:srgbClr val="FF0000"/>
                    </a:solidFill>
                  </a:rPr>
                  <a:pPr>
                    <a:defRPr/>
                  </a:pPr>
                  <a:t>[VALOR]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7"/>
        <c:spPr>
          <a:solidFill>
            <a:srgbClr val="FF0000"/>
          </a:solidFill>
          <a:ln>
            <a:noFill/>
          </a:ln>
          <a:effectLst/>
          <a:sp3d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19E01EC7-97D5-4AED-B411-4AF42DB0D371}" type="VALUE">
                  <a:rPr lang="en-US">
                    <a:solidFill>
                      <a:srgbClr val="FF0000"/>
                    </a:solidFill>
                  </a:rPr>
                  <a:pPr>
                    <a:defRPr/>
                  </a:pPr>
                  <a:t>[VALOR]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8"/>
        <c:spPr>
          <a:solidFill>
            <a:srgbClr val="FF0000"/>
          </a:solidFill>
          <a:ln>
            <a:noFill/>
          </a:ln>
          <a:effectLst/>
          <a:sp3d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E593B87E-8328-44D5-8120-1987B31A9A43}" type="VALUE">
                  <a:rPr lang="en-US">
                    <a:solidFill>
                      <a:srgbClr val="FF0000"/>
                    </a:solidFill>
                  </a:rPr>
                  <a:pPr>
                    <a:defRPr/>
                  </a:pPr>
                  <a:t>[VALOR]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9"/>
        <c:spPr>
          <a:solidFill>
            <a:srgbClr val="FF0000"/>
          </a:solidFill>
          <a:ln>
            <a:noFill/>
          </a:ln>
          <a:effectLst/>
          <a:sp3d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CFBA1232-3DCE-41EF-908A-1DB822E47130}" type="VALUE">
                  <a:rPr lang="en-US">
                    <a:solidFill>
                      <a:srgbClr val="FF0000"/>
                    </a:solidFill>
                  </a:rPr>
                  <a:pPr>
                    <a:defRPr/>
                  </a:pPr>
                  <a:t>[VALOR]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0"/>
        <c:spPr>
          <a:solidFill>
            <a:srgbClr val="FF0000"/>
          </a:solidFill>
          <a:ln>
            <a:noFill/>
          </a:ln>
          <a:effectLst/>
          <a:sp3d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9D784D0D-5D8B-45C9-81E8-D599FD4CD30C}" type="VALUE">
                  <a:rPr lang="en-US">
                    <a:solidFill>
                      <a:srgbClr val="FF0000"/>
                    </a:solidFill>
                  </a:rPr>
                  <a:pPr>
                    <a:defRPr/>
                  </a:pPr>
                  <a:t>[VALOR]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1"/>
        <c:spPr>
          <a:solidFill>
            <a:srgbClr val="FF0000"/>
          </a:solidFill>
          <a:ln>
            <a:noFill/>
          </a:ln>
          <a:effectLst/>
          <a:sp3d/>
        </c:spPr>
        <c:dLbl>
          <c:idx val="0"/>
          <c:layout>
            <c:manualLayout>
              <c:x val="5.5555555555555558E-3"/>
              <c:y val="0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F089BC9B-D1D3-45A6-A926-3C32AD7D452F}" type="VALUE">
                  <a:rPr lang="en-US">
                    <a:solidFill>
                      <a:srgbClr val="FF0000"/>
                    </a:solidFill>
                  </a:rPr>
                  <a:pPr>
                    <a:defRPr/>
                  </a:pPr>
                  <a:t>[VALOR]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2"/>
        <c:spPr>
          <a:solidFill>
            <a:srgbClr val="FF0000"/>
          </a:solidFill>
          <a:ln>
            <a:noFill/>
          </a:ln>
          <a:effectLst/>
          <a:sp3d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11FBB631-C5F4-4038-8D06-46A6837035B1}" type="VALUE">
                  <a:rPr lang="en-US">
                    <a:solidFill>
                      <a:srgbClr val="FF0000"/>
                    </a:solidFill>
                  </a:rPr>
                  <a:pPr>
                    <a:defRPr/>
                  </a:pPr>
                  <a:t>[VALOR]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3"/>
        <c:spPr>
          <a:solidFill>
            <a:srgbClr val="FF0000"/>
          </a:solidFill>
          <a:ln>
            <a:noFill/>
          </a:ln>
          <a:effectLst/>
          <a:sp3d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B903F2F8-D87F-484A-8AA0-B499A18586FE}" type="VALUE">
                  <a:rPr lang="en-US">
                    <a:solidFill>
                      <a:srgbClr val="FF0000"/>
                    </a:solidFill>
                  </a:rPr>
                  <a:pPr>
                    <a:defRPr/>
                  </a:pPr>
                  <a:t>[VALOR]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4"/>
        <c:spPr>
          <a:solidFill>
            <a:srgbClr val="FF0000"/>
          </a:solidFill>
          <a:ln>
            <a:noFill/>
          </a:ln>
          <a:effectLst/>
          <a:sp3d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8C65E169-D2D9-41F9-A70A-7BDB032D6E4E}" type="VALUE">
                  <a:rPr lang="en-US">
                    <a:solidFill>
                      <a:srgbClr val="FF0000"/>
                    </a:solidFill>
                  </a:rPr>
                  <a:pPr>
                    <a:defRPr/>
                  </a:pPr>
                  <a:t>[VALOR]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5"/>
        <c:spPr>
          <a:solidFill>
            <a:srgbClr val="22C55E"/>
          </a:solidFill>
          <a:ln>
            <a:noFill/>
          </a:ln>
          <a:effectLst/>
          <a:sp3d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14D10F2F-FD7F-4E79-8C3B-9E3B40323A97}" type="VALUE">
                  <a:rPr lang="en-US">
                    <a:solidFill>
                      <a:srgbClr val="22C55E"/>
                    </a:solidFill>
                  </a:rPr>
                  <a:pPr>
                    <a:defRPr/>
                  </a:pPr>
                  <a:t>[VALOR]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6"/>
        <c:spPr>
          <a:solidFill>
            <a:srgbClr val="22C55E"/>
          </a:solidFill>
          <a:ln>
            <a:noFill/>
          </a:ln>
          <a:effectLst/>
          <a:sp3d/>
        </c:spPr>
        <c:dLbl>
          <c:idx val="0"/>
          <c:layout>
            <c:manualLayout>
              <c:x val="8.3333333333333072E-3"/>
              <c:y val="0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405151C7-409C-4C41-B8D8-8FB200490292}" type="VALUE">
                  <a:rPr lang="en-US">
                    <a:solidFill>
                      <a:srgbClr val="22C55E"/>
                    </a:solidFill>
                  </a:rPr>
                  <a:pPr>
                    <a:defRPr/>
                  </a:pPr>
                  <a:t>[VALOR]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7"/>
        <c:spPr>
          <a:solidFill>
            <a:srgbClr val="22C55E"/>
          </a:solidFill>
          <a:ln>
            <a:noFill/>
          </a:ln>
          <a:effectLst/>
          <a:sp3d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C09714A5-AFD0-4B46-84E6-BB2CE91B897E}" type="VALUE">
                  <a:rPr lang="en-US">
                    <a:solidFill>
                      <a:srgbClr val="22C55E"/>
                    </a:solidFill>
                  </a:rPr>
                  <a:pPr>
                    <a:defRPr/>
                  </a:pPr>
                  <a:t>[VALOR]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8"/>
        <c:spPr>
          <a:solidFill>
            <a:srgbClr val="22C55E"/>
          </a:solidFill>
          <a:ln>
            <a:noFill/>
          </a:ln>
          <a:effectLst/>
          <a:sp3d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E55602D0-0BC3-462B-9C7A-03F94BE9FA3E}" type="VALUE">
                  <a:rPr lang="en-US">
                    <a:solidFill>
                      <a:srgbClr val="22C55E"/>
                    </a:solidFill>
                  </a:rPr>
                  <a:pPr>
                    <a:defRPr/>
                  </a:pPr>
                  <a:t>[VALOR]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9"/>
        <c:spPr>
          <a:solidFill>
            <a:srgbClr val="22C55E"/>
          </a:solidFill>
          <a:ln>
            <a:noFill/>
          </a:ln>
          <a:effectLst/>
          <a:sp3d/>
        </c:spPr>
        <c:dLbl>
          <c:idx val="0"/>
          <c:layout>
            <c:manualLayout>
              <c:x val="5.5555555555556061E-3"/>
              <c:y val="0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74108EEA-CB0B-4CAB-A252-388E01B9A348}" type="VALUE">
                  <a:rPr lang="en-US">
                    <a:solidFill>
                      <a:srgbClr val="22C55E"/>
                    </a:solidFill>
                  </a:rPr>
                  <a:pPr>
                    <a:defRPr/>
                  </a:pPr>
                  <a:t>[VALOR]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20"/>
        <c:spPr>
          <a:solidFill>
            <a:srgbClr val="22C55E"/>
          </a:solidFill>
          <a:ln>
            <a:noFill/>
          </a:ln>
          <a:effectLst/>
          <a:sp3d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F94964B6-50D1-4865-9C75-B9AD350FECD8}" type="VALUE">
                  <a:rPr lang="en-US">
                    <a:solidFill>
                      <a:srgbClr val="22C55E"/>
                    </a:solidFill>
                  </a:rPr>
                  <a:pPr>
                    <a:defRPr/>
                  </a:pPr>
                  <a:t>[VALOR]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21"/>
        <c:spPr>
          <a:solidFill>
            <a:srgbClr val="22C55E"/>
          </a:solidFill>
          <a:ln>
            <a:noFill/>
          </a:ln>
          <a:effectLst/>
          <a:sp3d/>
        </c:spPr>
        <c:dLbl>
          <c:idx val="0"/>
          <c:layout>
            <c:manualLayout>
              <c:x val="8.3333333333333332E-3"/>
              <c:y val="1.3888888888888805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B919BF5A-2D55-4F14-ADAF-A06FC3EB4E11}" type="VALUE">
                  <a:rPr lang="en-US">
                    <a:solidFill>
                      <a:srgbClr val="22C55E"/>
                    </a:solidFill>
                  </a:rPr>
                  <a:pPr>
                    <a:defRPr/>
                  </a:pPr>
                  <a:t>[VALOR]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22"/>
        <c:spPr>
          <a:solidFill>
            <a:srgbClr val="22C55E"/>
          </a:solidFill>
          <a:ln>
            <a:noFill/>
          </a:ln>
          <a:effectLst/>
          <a:sp3d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C24D2DDB-C2CE-4816-8BB1-C1D3473BF847}" type="VALUE">
                  <a:rPr lang="en-US">
                    <a:solidFill>
                      <a:srgbClr val="22C55E"/>
                    </a:solidFill>
                  </a:rPr>
                  <a:pPr>
                    <a:defRPr/>
                  </a:pPr>
                  <a:t>[VALOR]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23"/>
        <c:spPr>
          <a:solidFill>
            <a:srgbClr val="22C55E"/>
          </a:solidFill>
          <a:ln>
            <a:noFill/>
          </a:ln>
          <a:effectLst/>
          <a:sp3d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88D33DE2-8E4D-4162-AC0B-D49F597B1B40}" type="VALUE">
                  <a:rPr lang="en-US">
                    <a:solidFill>
                      <a:srgbClr val="22C55E"/>
                    </a:solidFill>
                  </a:rPr>
                  <a:pPr>
                    <a:defRPr/>
                  </a:pPr>
                  <a:t>[VALOR]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C̳álculos!$C$43:$C$44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4A96D038-18D0-46B1-9346-0CD71A4A1D09}" type="VALUE">
                      <a:rPr lang="en-US">
                        <a:solidFill>
                          <a:srgbClr val="FF0000"/>
                        </a:solidFill>
                      </a:rPr>
                      <a:pPr/>
                      <a:t>[VALOR]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32B4-4346-90F0-4508B441B25E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19E01EC7-97D5-4AED-B411-4AF42DB0D371}" type="VALUE">
                      <a:rPr lang="en-US">
                        <a:solidFill>
                          <a:srgbClr val="FF0000"/>
                        </a:solidFill>
                      </a:rPr>
                      <a:pPr/>
                      <a:t>[VALOR]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32B4-4346-90F0-4508B441B25E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CFBA1232-3DCE-41EF-908A-1DB822E47130}" type="VALUE">
                      <a:rPr lang="en-US">
                        <a:solidFill>
                          <a:srgbClr val="FF0000"/>
                        </a:solidFill>
                      </a:rPr>
                      <a:pPr/>
                      <a:t>[VALOR]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32B4-4346-90F0-4508B441B25E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9D784D0D-5D8B-45C9-81E8-D599FD4CD30C}" type="VALUE">
                      <a:rPr lang="en-US">
                        <a:solidFill>
                          <a:srgbClr val="FF0000"/>
                        </a:solidFill>
                      </a:rPr>
                      <a:pPr/>
                      <a:t>[VALOR]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6-32B4-4346-90F0-4508B441B25E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E593B87E-8328-44D5-8120-1987B31A9A43}" type="VALUE">
                      <a:rPr lang="en-US">
                        <a:solidFill>
                          <a:srgbClr val="FF0000"/>
                        </a:solidFill>
                      </a:rPr>
                      <a:pPr/>
                      <a:t>[VALOR]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32B4-4346-90F0-4508B441B25E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8C65E169-D2D9-41F9-A70A-7BDB032D6E4E}" type="VALUE">
                      <a:rPr lang="en-US">
                        <a:solidFill>
                          <a:srgbClr val="FF0000"/>
                        </a:solidFill>
                      </a:rPr>
                      <a:pPr/>
                      <a:t>[VALOR]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A-32B4-4346-90F0-4508B441B25E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11FBB631-C5F4-4038-8D06-46A6837035B1}" type="VALUE">
                      <a:rPr lang="en-US">
                        <a:solidFill>
                          <a:srgbClr val="FF0000"/>
                        </a:solidFill>
                      </a:rPr>
                      <a:pPr/>
                      <a:t>[VALOR]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8-32B4-4346-90F0-4508B441B25E}"/>
                </c:ext>
              </c:extLst>
            </c:dLbl>
            <c:dLbl>
              <c:idx val="7"/>
              <c:layout>
                <c:manualLayout>
                  <c:x val="5.5555555555555558E-3"/>
                  <c:y val="0"/>
                </c:manualLayout>
              </c:layout>
              <c:tx>
                <c:rich>
                  <a:bodyPr/>
                  <a:lstStyle/>
                  <a:p>
                    <a:fld id="{F089BC9B-D1D3-45A6-A926-3C32AD7D452F}" type="VALUE">
                      <a:rPr lang="en-US">
                        <a:solidFill>
                          <a:srgbClr val="FF0000"/>
                        </a:solidFill>
                      </a:rPr>
                      <a:pPr/>
                      <a:t>[VALOR]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7-32B4-4346-90F0-4508B441B25E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B903F2F8-D87F-484A-8AA0-B499A18586FE}" type="VALUE">
                      <a:rPr lang="en-US">
                        <a:solidFill>
                          <a:srgbClr val="FF0000"/>
                        </a:solidFill>
                      </a:rPr>
                      <a:pPr/>
                      <a:t>[VALOR]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9-32B4-4346-90F0-4508B441B25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C̳álculos!$B$45:$B$57</c:f>
              <c:multiLvlStrCache>
                <c:ptCount val="9"/>
                <c:lvl>
                  <c:pt idx="0">
                    <c:v>Annual</c:v>
                  </c:pt>
                  <c:pt idx="1">
                    <c:v>Monthly</c:v>
                  </c:pt>
                  <c:pt idx="2">
                    <c:v>Quarterly</c:v>
                  </c:pt>
                  <c:pt idx="3">
                    <c:v>Annual</c:v>
                  </c:pt>
                  <c:pt idx="4">
                    <c:v>Monthly</c:v>
                  </c:pt>
                  <c:pt idx="5">
                    <c:v>Quarterly</c:v>
                  </c:pt>
                  <c:pt idx="6">
                    <c:v>Annual</c:v>
                  </c:pt>
                  <c:pt idx="7">
                    <c:v>Monthly</c:v>
                  </c:pt>
                  <c:pt idx="8">
                    <c:v>Quarterly</c:v>
                  </c:pt>
                </c:lvl>
                <c:lvl>
                  <c:pt idx="0">
                    <c:v>Core</c:v>
                  </c:pt>
                  <c:pt idx="3">
                    <c:v>Standard</c:v>
                  </c:pt>
                  <c:pt idx="6">
                    <c:v>Ultimate</c:v>
                  </c:pt>
                </c:lvl>
              </c:multiLvlStrCache>
            </c:multiLvlStrRef>
          </c:cat>
          <c:val>
            <c:numRef>
              <c:f>C̳álculos!$C$45:$C$57</c:f>
              <c:numCache>
                <c:formatCode>General</c:formatCode>
                <c:ptCount val="9"/>
                <c:pt idx="0">
                  <c:v>5</c:v>
                </c:pt>
                <c:pt idx="1">
                  <c:v>37</c:v>
                </c:pt>
                <c:pt idx="2">
                  <c:v>8</c:v>
                </c:pt>
                <c:pt idx="3">
                  <c:v>4</c:v>
                </c:pt>
                <c:pt idx="4">
                  <c:v>40</c:v>
                </c:pt>
                <c:pt idx="5">
                  <c:v>3</c:v>
                </c:pt>
                <c:pt idx="6">
                  <c:v>2</c:v>
                </c:pt>
                <c:pt idx="7">
                  <c:v>34</c:v>
                </c:pt>
                <c:pt idx="8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B4-4346-90F0-4508B441B25E}"/>
            </c:ext>
          </c:extLst>
        </c:ser>
        <c:ser>
          <c:idx val="1"/>
          <c:order val="1"/>
          <c:tx>
            <c:strRef>
              <c:f>C̳álculos!$D$43:$D$44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14D10F2F-FD7F-4E79-8C3B-9E3B40323A97}" type="VALUE">
                      <a:rPr lang="en-US">
                        <a:solidFill>
                          <a:srgbClr val="22C55E"/>
                        </a:solidFill>
                      </a:rPr>
                      <a:pPr/>
                      <a:t>[VALOR]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B-32B4-4346-90F0-4508B441B25E}"/>
                </c:ext>
              </c:extLst>
            </c:dLbl>
            <c:dLbl>
              <c:idx val="1"/>
              <c:layout>
                <c:manualLayout>
                  <c:x val="8.3333333333333072E-3"/>
                  <c:y val="0"/>
                </c:manualLayout>
              </c:layout>
              <c:tx>
                <c:rich>
                  <a:bodyPr/>
                  <a:lstStyle/>
                  <a:p>
                    <a:fld id="{405151C7-409C-4C41-B8D8-8FB200490292}" type="VALUE">
                      <a:rPr lang="en-US">
                        <a:solidFill>
                          <a:srgbClr val="22C55E"/>
                        </a:solidFill>
                      </a:rPr>
                      <a:pPr/>
                      <a:t>[VALOR]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C-32B4-4346-90F0-4508B441B25E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C09714A5-AFD0-4B46-84E6-BB2CE91B897E}" type="VALUE">
                      <a:rPr lang="en-US">
                        <a:solidFill>
                          <a:srgbClr val="22C55E"/>
                        </a:solidFill>
                      </a:rPr>
                      <a:pPr/>
                      <a:t>[VALOR]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D-32B4-4346-90F0-4508B441B25E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E55602D0-0BC3-462B-9C7A-03F94BE9FA3E}" type="VALUE">
                      <a:rPr lang="en-US">
                        <a:solidFill>
                          <a:srgbClr val="22C55E"/>
                        </a:solidFill>
                      </a:rPr>
                      <a:pPr/>
                      <a:t>[VALOR]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E-32B4-4346-90F0-4508B441B25E}"/>
                </c:ext>
              </c:extLst>
            </c:dLbl>
            <c:dLbl>
              <c:idx val="4"/>
              <c:layout>
                <c:manualLayout>
                  <c:x val="5.5555555555556061E-3"/>
                  <c:y val="0"/>
                </c:manualLayout>
              </c:layout>
              <c:tx>
                <c:rich>
                  <a:bodyPr/>
                  <a:lstStyle/>
                  <a:p>
                    <a:fld id="{74108EEA-CB0B-4CAB-A252-388E01B9A348}" type="VALUE">
                      <a:rPr lang="en-US">
                        <a:solidFill>
                          <a:srgbClr val="22C55E"/>
                        </a:solidFill>
                      </a:rPr>
                      <a:pPr/>
                      <a:t>[VALOR]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F-32B4-4346-90F0-4508B441B25E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F94964B6-50D1-4865-9C75-B9AD350FECD8}" type="VALUE">
                      <a:rPr lang="en-US">
                        <a:solidFill>
                          <a:srgbClr val="22C55E"/>
                        </a:solidFill>
                      </a:rPr>
                      <a:pPr/>
                      <a:t>[VALOR]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10-32B4-4346-90F0-4508B441B25E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88D33DE2-8E4D-4162-AC0B-D49F597B1B40}" type="VALUE">
                      <a:rPr lang="en-US">
                        <a:solidFill>
                          <a:srgbClr val="22C55E"/>
                        </a:solidFill>
                      </a:rPr>
                      <a:pPr/>
                      <a:t>[VALOR]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13-32B4-4346-90F0-4508B441B25E}"/>
                </c:ext>
              </c:extLst>
            </c:dLbl>
            <c:dLbl>
              <c:idx val="7"/>
              <c:layout>
                <c:manualLayout>
                  <c:x val="8.3333333333333332E-3"/>
                  <c:y val="1.3888888888888805E-2"/>
                </c:manualLayout>
              </c:layout>
              <c:tx>
                <c:rich>
                  <a:bodyPr/>
                  <a:lstStyle/>
                  <a:p>
                    <a:fld id="{B919BF5A-2D55-4F14-ADAF-A06FC3EB4E11}" type="VALUE">
                      <a:rPr lang="en-US">
                        <a:solidFill>
                          <a:srgbClr val="22C55E"/>
                        </a:solidFill>
                      </a:rPr>
                      <a:pPr/>
                      <a:t>[VALOR]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11-32B4-4346-90F0-4508B441B25E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C24D2DDB-C2CE-4816-8BB1-C1D3473BF847}" type="VALUE">
                      <a:rPr lang="en-US">
                        <a:solidFill>
                          <a:srgbClr val="22C55E"/>
                        </a:solidFill>
                      </a:rPr>
                      <a:pPr/>
                      <a:t>[VALOR]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12-32B4-4346-90F0-4508B441B25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C̳álculos!$B$45:$B$57</c:f>
              <c:multiLvlStrCache>
                <c:ptCount val="9"/>
                <c:lvl>
                  <c:pt idx="0">
                    <c:v>Annual</c:v>
                  </c:pt>
                  <c:pt idx="1">
                    <c:v>Monthly</c:v>
                  </c:pt>
                  <c:pt idx="2">
                    <c:v>Quarterly</c:v>
                  </c:pt>
                  <c:pt idx="3">
                    <c:v>Annual</c:v>
                  </c:pt>
                  <c:pt idx="4">
                    <c:v>Monthly</c:v>
                  </c:pt>
                  <c:pt idx="5">
                    <c:v>Quarterly</c:v>
                  </c:pt>
                  <c:pt idx="6">
                    <c:v>Annual</c:v>
                  </c:pt>
                  <c:pt idx="7">
                    <c:v>Monthly</c:v>
                  </c:pt>
                  <c:pt idx="8">
                    <c:v>Quarterly</c:v>
                  </c:pt>
                </c:lvl>
                <c:lvl>
                  <c:pt idx="0">
                    <c:v>Core</c:v>
                  </c:pt>
                  <c:pt idx="3">
                    <c:v>Standard</c:v>
                  </c:pt>
                  <c:pt idx="6">
                    <c:v>Ultimate</c:v>
                  </c:pt>
                </c:lvl>
              </c:multiLvlStrCache>
            </c:multiLvlStrRef>
          </c:cat>
          <c:val>
            <c:numRef>
              <c:f>C̳álculos!$D$45:$D$57</c:f>
              <c:numCache>
                <c:formatCode>General</c:formatCode>
                <c:ptCount val="9"/>
                <c:pt idx="0">
                  <c:v>19</c:v>
                </c:pt>
                <c:pt idx="1">
                  <c:v>12</c:v>
                </c:pt>
                <c:pt idx="2">
                  <c:v>20</c:v>
                </c:pt>
                <c:pt idx="3">
                  <c:v>23</c:v>
                </c:pt>
                <c:pt idx="4">
                  <c:v>5</c:v>
                </c:pt>
                <c:pt idx="5">
                  <c:v>21</c:v>
                </c:pt>
                <c:pt idx="6">
                  <c:v>18</c:v>
                </c:pt>
                <c:pt idx="7">
                  <c:v>11</c:v>
                </c:pt>
                <c:pt idx="8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B4-4346-90F0-4508B441B2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54826096"/>
        <c:axId val="1554828496"/>
        <c:axId val="0"/>
      </c:bar3DChart>
      <c:catAx>
        <c:axId val="1554826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54828496"/>
        <c:crosses val="autoZero"/>
        <c:auto val="1"/>
        <c:lblAlgn val="ctr"/>
        <c:lblOffset val="100"/>
        <c:noMultiLvlLbl val="0"/>
      </c:catAx>
      <c:valAx>
        <c:axId val="1554828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54826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[Dashboard_Xbox.xlsx]C̳álculos!Tabela dinâmica4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C̳álculos!$C$64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  <a:sp3d/>
          </c:spPr>
          <c:invertIfNegative val="0"/>
          <c:cat>
            <c:strRef>
              <c:f>C̳álculos!$B$65:$B$77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C̳álculos!$C$65:$C$77</c:f>
              <c:numCache>
                <c:formatCode>_("R$"* #,##0.00_);_("R$"* \(#,##0.00\);_("R$"* "-"??_);_(@_)</c:formatCode>
                <c:ptCount val="12"/>
                <c:pt idx="0">
                  <c:v>65</c:v>
                </c:pt>
                <c:pt idx="1">
                  <c:v>82</c:v>
                </c:pt>
                <c:pt idx="2">
                  <c:v>801</c:v>
                </c:pt>
                <c:pt idx="3">
                  <c:v>782</c:v>
                </c:pt>
                <c:pt idx="4">
                  <c:v>777</c:v>
                </c:pt>
                <c:pt idx="5">
                  <c:v>770</c:v>
                </c:pt>
                <c:pt idx="6">
                  <c:v>784</c:v>
                </c:pt>
                <c:pt idx="7">
                  <c:v>787</c:v>
                </c:pt>
                <c:pt idx="8">
                  <c:v>780</c:v>
                </c:pt>
                <c:pt idx="9">
                  <c:v>832</c:v>
                </c:pt>
                <c:pt idx="10">
                  <c:v>784</c:v>
                </c:pt>
                <c:pt idx="11">
                  <c:v>389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6D-4075-AAA3-7DD612E025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877047152"/>
        <c:axId val="1877049552"/>
        <c:axId val="0"/>
      </c:bar3DChart>
      <c:catAx>
        <c:axId val="1877047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77049552"/>
        <c:crosses val="autoZero"/>
        <c:auto val="1"/>
        <c:lblAlgn val="ctr"/>
        <c:lblOffset val="100"/>
        <c:noMultiLvlLbl val="0"/>
      </c:catAx>
      <c:valAx>
        <c:axId val="1877049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77047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.xml"/><Relationship Id="rId3" Type="http://schemas.openxmlformats.org/officeDocument/2006/relationships/image" Target="../media/image8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Relationship Id="rId9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78004</xdr:colOff>
      <xdr:row>33</xdr:row>
      <xdr:rowOff>189854</xdr:rowOff>
    </xdr:from>
    <xdr:to>
      <xdr:col>13</xdr:col>
      <xdr:colOff>514493</xdr:colOff>
      <xdr:row>55</xdr:row>
      <xdr:rowOff>68626</xdr:rowOff>
    </xdr:to>
    <xdr:sp macro="" textlink="">
      <xdr:nvSpPr>
        <xdr:cNvPr id="40" name="Retângulo: Cantos Arredondados 39">
          <a:extLst>
            <a:ext uri="{FF2B5EF4-FFF2-40B4-BE49-F238E27FC236}">
              <a16:creationId xmlns:a16="http://schemas.microsoft.com/office/drawing/2014/main" id="{A8A4D32E-F6C0-4ECD-AE25-5C87CC027EDF}"/>
            </a:ext>
          </a:extLst>
        </xdr:cNvPr>
        <xdr:cNvSpPr/>
      </xdr:nvSpPr>
      <xdr:spPr>
        <a:xfrm>
          <a:off x="2141754" y="6333479"/>
          <a:ext cx="6913489" cy="4069772"/>
        </a:xfrm>
        <a:prstGeom prst="roundRect">
          <a:avLst>
            <a:gd name="adj" fmla="val 6880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</xdr:col>
      <xdr:colOff>80841</xdr:colOff>
      <xdr:row>0</xdr:row>
      <xdr:rowOff>27214</xdr:rowOff>
    </xdr:from>
    <xdr:to>
      <xdr:col>2</xdr:col>
      <xdr:colOff>517871</xdr:colOff>
      <xdr:row>3</xdr:row>
      <xdr:rowOff>30546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630EA10-DDFB-4174-AD6F-CBB669F75E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26" t="16306" r="72773" b="18469"/>
        <a:stretch/>
      </xdr:blipFill>
      <xdr:spPr>
        <a:xfrm>
          <a:off x="1904198" y="27214"/>
          <a:ext cx="681959" cy="79254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58851</xdr:rowOff>
    </xdr:from>
    <xdr:to>
      <xdr:col>0</xdr:col>
      <xdr:colOff>1782536</xdr:colOff>
      <xdr:row>20</xdr:row>
      <xdr:rowOff>134711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Subscription Type">
              <a:extLst>
                <a:ext uri="{FF2B5EF4-FFF2-40B4-BE49-F238E27FC236}">
                  <a16:creationId xmlns:a16="http://schemas.microsoft.com/office/drawing/2014/main" id="{F85F9B95-DC6C-4715-AA04-6997CB6877D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449501"/>
              <a:ext cx="1782536" cy="23523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63500</xdr:colOff>
      <xdr:row>6</xdr:row>
      <xdr:rowOff>61913</xdr:rowOff>
    </xdr:from>
    <xdr:to>
      <xdr:col>7</xdr:col>
      <xdr:colOff>333374</xdr:colOff>
      <xdr:row>18</xdr:row>
      <xdr:rowOff>171450</xdr:rowOff>
    </xdr:to>
    <xdr:grpSp>
      <xdr:nvGrpSpPr>
        <xdr:cNvPr id="19" name="Agrupar 18">
          <a:extLst>
            <a:ext uri="{FF2B5EF4-FFF2-40B4-BE49-F238E27FC236}">
              <a16:creationId xmlns:a16="http://schemas.microsoft.com/office/drawing/2014/main" id="{876A8D1C-2608-8C6C-89D4-BAA9C31F449C}"/>
            </a:ext>
          </a:extLst>
        </xdr:cNvPr>
        <xdr:cNvGrpSpPr/>
      </xdr:nvGrpSpPr>
      <xdr:grpSpPr>
        <a:xfrm>
          <a:off x="2127250" y="1189038"/>
          <a:ext cx="3286124" cy="2268537"/>
          <a:chOff x="2095500" y="1143000"/>
          <a:chExt cx="4686216" cy="1647825"/>
        </a:xfrm>
      </xdr:grpSpPr>
      <xdr:sp macro="" textlink="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D7A77263-7404-111B-A806-E2CCC10DEAB3}"/>
              </a:ext>
            </a:extLst>
          </xdr:cNvPr>
          <xdr:cNvSpPr/>
        </xdr:nvSpPr>
        <xdr:spPr>
          <a:xfrm>
            <a:off x="2095500" y="1202531"/>
            <a:ext cx="4655344" cy="1512094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C̳álculos!E25">
        <xdr:nvSpPr>
          <xdr:cNvPr id="16" name="Retângulo: Cantos Arredondados 15">
            <a:extLst>
              <a:ext uri="{FF2B5EF4-FFF2-40B4-BE49-F238E27FC236}">
                <a16:creationId xmlns:a16="http://schemas.microsoft.com/office/drawing/2014/main" id="{61552D02-77C9-4CE7-8E23-3B04A00EEA4C}"/>
              </a:ext>
            </a:extLst>
          </xdr:cNvPr>
          <xdr:cNvSpPr/>
        </xdr:nvSpPr>
        <xdr:spPr>
          <a:xfrm>
            <a:off x="3212307" y="1709738"/>
            <a:ext cx="3569409" cy="942975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B013F77A-435A-4ABA-88A6-D9C44614F925}" type="TxLink">
              <a:rPr lang="en-US" sz="3600" b="0" i="0" u="none" strike="noStrike" kern="1200">
                <a:solidFill>
                  <a:srgbClr val="22C55E"/>
                </a:solidFill>
                <a:latin typeface="Aptos Narrow"/>
              </a:rPr>
              <a:pPr algn="ctr"/>
              <a:t> R$ 2.940,00 </a:t>
            </a:fld>
            <a:endParaRPr lang="pt-BR" sz="3600" kern="1200">
              <a:solidFill>
                <a:srgbClr val="22C55E"/>
              </a:solidFill>
            </a:endParaRPr>
          </a:p>
        </xdr:txBody>
      </xdr:sp>
      <xdr:pic>
        <xdr:nvPicPr>
          <xdr:cNvPr id="17" name="Imagem 16">
            <a:extLst>
              <a:ext uri="{FF2B5EF4-FFF2-40B4-BE49-F238E27FC236}">
                <a16:creationId xmlns:a16="http://schemas.microsoft.com/office/drawing/2014/main" id="{AB7C9170-0AF4-4EE1-A19A-9EDFF2BFE1C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50282" y="1571625"/>
            <a:ext cx="1219200" cy="1219200"/>
          </a:xfrm>
          <a:prstGeom prst="rect">
            <a:avLst/>
          </a:prstGeom>
        </xdr:spPr>
      </xdr:pic>
      <xdr:sp macro="" textlink="">
        <xdr:nvSpPr>
          <xdr:cNvPr id="18" name="Retângulo: Cantos Superiores Arredondados 17">
            <a:extLst>
              <a:ext uri="{FF2B5EF4-FFF2-40B4-BE49-F238E27FC236}">
                <a16:creationId xmlns:a16="http://schemas.microsoft.com/office/drawing/2014/main" id="{DC70A7EE-8E1F-F9B2-5965-FE23BFD36B53}"/>
              </a:ext>
            </a:extLst>
          </xdr:cNvPr>
          <xdr:cNvSpPr/>
        </xdr:nvSpPr>
        <xdr:spPr>
          <a:xfrm>
            <a:off x="2095500" y="1143000"/>
            <a:ext cx="4655344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EA PLAY SEASON PASS</a:t>
            </a:r>
          </a:p>
        </xdr:txBody>
      </xdr:sp>
    </xdr:grpSp>
    <xdr:clientData/>
  </xdr:twoCellAnchor>
  <xdr:twoCellAnchor>
    <xdr:from>
      <xdr:col>8</xdr:col>
      <xdr:colOff>19051</xdr:colOff>
      <xdr:row>6</xdr:row>
      <xdr:rowOff>69273</xdr:rowOff>
    </xdr:from>
    <xdr:to>
      <xdr:col>13</xdr:col>
      <xdr:colOff>555624</xdr:colOff>
      <xdr:row>18</xdr:row>
      <xdr:rowOff>78797</xdr:rowOff>
    </xdr:to>
    <xdr:grpSp>
      <xdr:nvGrpSpPr>
        <xdr:cNvPr id="28" name="Agrupar 27">
          <a:extLst>
            <a:ext uri="{FF2B5EF4-FFF2-40B4-BE49-F238E27FC236}">
              <a16:creationId xmlns:a16="http://schemas.microsoft.com/office/drawing/2014/main" id="{A41F36A7-AB9C-196A-291F-D90799A3B69C}"/>
            </a:ext>
          </a:extLst>
        </xdr:cNvPr>
        <xdr:cNvGrpSpPr/>
      </xdr:nvGrpSpPr>
      <xdr:grpSpPr>
        <a:xfrm>
          <a:off x="5702301" y="1196398"/>
          <a:ext cx="3394073" cy="2168524"/>
          <a:chOff x="7534275" y="1247775"/>
          <a:chExt cx="4778053" cy="1571625"/>
        </a:xfrm>
      </xdr:grpSpPr>
      <xdr:grpSp>
        <xdr:nvGrpSpPr>
          <xdr:cNvPr id="20" name="Agrupar 19">
            <a:extLst>
              <a:ext uri="{FF2B5EF4-FFF2-40B4-BE49-F238E27FC236}">
                <a16:creationId xmlns:a16="http://schemas.microsoft.com/office/drawing/2014/main" id="{B5BD4B7E-5F14-40A5-8D91-242DE7C7B619}"/>
              </a:ext>
            </a:extLst>
          </xdr:cNvPr>
          <xdr:cNvGrpSpPr/>
        </xdr:nvGrpSpPr>
        <xdr:grpSpPr>
          <a:xfrm>
            <a:off x="7534275" y="1247775"/>
            <a:ext cx="4778053" cy="1571625"/>
            <a:chOff x="2095500" y="1143000"/>
            <a:chExt cx="4778053" cy="1571625"/>
          </a:xfrm>
        </xdr:grpSpPr>
        <xdr:sp macro="" textlink="">
          <xdr:nvSpPr>
            <xdr:cNvPr id="21" name="Retângulo: Cantos Arredondados 20">
              <a:extLst>
                <a:ext uri="{FF2B5EF4-FFF2-40B4-BE49-F238E27FC236}">
                  <a16:creationId xmlns:a16="http://schemas.microsoft.com/office/drawing/2014/main" id="{A66F6E5F-021B-034F-BDBE-412F89DE8543}"/>
                </a:ext>
              </a:extLst>
            </xdr:cNvPr>
            <xdr:cNvSpPr/>
          </xdr:nvSpPr>
          <xdr:spPr>
            <a:xfrm>
              <a:off x="2095500" y="1202531"/>
              <a:ext cx="4655344" cy="1512094"/>
            </a:xfrm>
            <a:prstGeom prst="roundRect">
              <a:avLst>
                <a:gd name="adj" fmla="val 4069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sp macro="" textlink="C̳álculos!E36">
          <xdr:nvSpPr>
            <xdr:cNvPr id="22" name="Retângulo: Cantos Arredondados 21">
              <a:extLst>
                <a:ext uri="{FF2B5EF4-FFF2-40B4-BE49-F238E27FC236}">
                  <a16:creationId xmlns:a16="http://schemas.microsoft.com/office/drawing/2014/main" id="{338342F4-73EE-962B-63B1-5B4F29A7A23B}"/>
                </a:ext>
              </a:extLst>
            </xdr:cNvPr>
            <xdr:cNvSpPr/>
          </xdr:nvSpPr>
          <xdr:spPr>
            <a:xfrm>
              <a:off x="3212307" y="1709738"/>
              <a:ext cx="3661246" cy="942975"/>
            </a:xfrm>
            <a:prstGeom prst="roundRect">
              <a:avLst>
                <a:gd name="adj" fmla="val 4069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E52E6073-EB91-45C9-81B2-5596C04756C0}" type="TxLink">
                <a:rPr lang="en-US" sz="3600" b="0" i="0" u="none" strike="noStrike" kern="1200">
                  <a:solidFill>
                    <a:srgbClr val="22C55E"/>
                  </a:solidFill>
                  <a:latin typeface="Aptos Narrow"/>
                </a:rPr>
                <a:pPr algn="ctr"/>
                <a:t> R$ 3.880,00 </a:t>
              </a:fld>
              <a:endParaRPr lang="pt-BR" sz="3600" kern="1200"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24" name="Retângulo: Cantos Superiores Arredondados 23">
              <a:extLst>
                <a:ext uri="{FF2B5EF4-FFF2-40B4-BE49-F238E27FC236}">
                  <a16:creationId xmlns:a16="http://schemas.microsoft.com/office/drawing/2014/main" id="{4A1F90DC-6777-6E0D-F6C7-E4153C25B868}"/>
                </a:ext>
              </a:extLst>
            </xdr:cNvPr>
            <xdr:cNvSpPr/>
          </xdr:nvSpPr>
          <xdr:spPr>
            <a:xfrm>
              <a:off x="2095500" y="1143000"/>
              <a:ext cx="4655344" cy="452437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MINECRAFT</a:t>
              </a:r>
              <a:r>
                <a:rPr lang="pt-BR" sz="1100" b="1" kern="1200" baseline="0">
                  <a:latin typeface="Segoe UI" panose="020B0502040204020203" pitchFamily="34" charset="0"/>
                  <a:cs typeface="Segoe UI" panose="020B0502040204020203" pitchFamily="34" charset="0"/>
                </a:rPr>
                <a:t> </a:t>
              </a:r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SEASON PASS</a:t>
              </a:r>
            </a:p>
          </xdr:txBody>
        </xdr:sp>
      </xdr:grpSp>
      <xdr:grpSp>
        <xdr:nvGrpSpPr>
          <xdr:cNvPr id="25" name="Agrupar 24">
            <a:extLst>
              <a:ext uri="{FF2B5EF4-FFF2-40B4-BE49-F238E27FC236}">
                <a16:creationId xmlns:a16="http://schemas.microsoft.com/office/drawing/2014/main" id="{150B2C94-9D5D-49A6-B131-D70888AB2680}"/>
              </a:ext>
            </a:extLst>
          </xdr:cNvPr>
          <xdr:cNvGrpSpPr/>
        </xdr:nvGrpSpPr>
        <xdr:grpSpPr>
          <a:xfrm>
            <a:off x="7703345" y="1952626"/>
            <a:ext cx="1083467" cy="583406"/>
            <a:chOff x="3495675" y="5400674"/>
            <a:chExt cx="1549476" cy="752476"/>
          </a:xfrm>
        </xdr:grpSpPr>
        <xdr:pic>
          <xdr:nvPicPr>
            <xdr:cNvPr id="26" name="Imagem 25">
              <a:extLst>
                <a:ext uri="{FF2B5EF4-FFF2-40B4-BE49-F238E27FC236}">
                  <a16:creationId xmlns:a16="http://schemas.microsoft.com/office/drawing/2014/main" id="{1F3EC444-0B76-D734-E296-5A6B57C3B1E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7" name="Gráfico 26">
              <a:extLst>
                <a:ext uri="{FF2B5EF4-FFF2-40B4-BE49-F238E27FC236}">
                  <a16:creationId xmlns:a16="http://schemas.microsoft.com/office/drawing/2014/main" id="{5631692E-5EE0-7C23-216D-35E6E841AD7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14</xdr:col>
      <xdr:colOff>238775</xdr:colOff>
      <xdr:row>6</xdr:row>
      <xdr:rowOff>24462</xdr:rowOff>
    </xdr:from>
    <xdr:to>
      <xdr:col>25</xdr:col>
      <xdr:colOff>502228</xdr:colOff>
      <xdr:row>31</xdr:row>
      <xdr:rowOff>1</xdr:rowOff>
    </xdr:to>
    <xdr:grpSp>
      <xdr:nvGrpSpPr>
        <xdr:cNvPr id="30" name="Agrupar 29">
          <a:extLst>
            <a:ext uri="{FF2B5EF4-FFF2-40B4-BE49-F238E27FC236}">
              <a16:creationId xmlns:a16="http://schemas.microsoft.com/office/drawing/2014/main" id="{08565BD9-58FC-B6E1-F4E6-6B45AE50E033}"/>
            </a:ext>
          </a:extLst>
        </xdr:cNvPr>
        <xdr:cNvGrpSpPr/>
      </xdr:nvGrpSpPr>
      <xdr:grpSpPr>
        <a:xfrm>
          <a:off x="9382775" y="1151587"/>
          <a:ext cx="6899203" cy="4611039"/>
          <a:chOff x="2083594" y="3178969"/>
          <a:chExt cx="10298906" cy="3298031"/>
        </a:xfrm>
      </xdr:grpSpPr>
      <xdr:grpSp>
        <xdr:nvGrpSpPr>
          <xdr:cNvPr id="14" name="Agrupar 13">
            <a:extLst>
              <a:ext uri="{FF2B5EF4-FFF2-40B4-BE49-F238E27FC236}">
                <a16:creationId xmlns:a16="http://schemas.microsoft.com/office/drawing/2014/main" id="{4D1F0864-A4F4-37F3-8029-1F495B27B0B8}"/>
              </a:ext>
            </a:extLst>
          </xdr:cNvPr>
          <xdr:cNvGrpSpPr/>
        </xdr:nvGrpSpPr>
        <xdr:grpSpPr>
          <a:xfrm>
            <a:off x="2095502" y="3178970"/>
            <a:ext cx="10275092" cy="3298030"/>
            <a:chOff x="2309814" y="1190625"/>
            <a:chExt cx="10275092" cy="2917032"/>
          </a:xfrm>
        </xdr:grpSpPr>
        <xdr:sp macro="" textlink="">
          <xdr:nvSpPr>
            <xdr:cNvPr id="8" name="Retângulo: Cantos Arredondados 7">
              <a:extLst>
                <a:ext uri="{FF2B5EF4-FFF2-40B4-BE49-F238E27FC236}">
                  <a16:creationId xmlns:a16="http://schemas.microsoft.com/office/drawing/2014/main" id="{BF010324-0D13-48F3-9FA9-6FF56F20097A}"/>
                </a:ext>
              </a:extLst>
            </xdr:cNvPr>
            <xdr:cNvSpPr/>
          </xdr:nvSpPr>
          <xdr:spPr>
            <a:xfrm>
              <a:off x="2309814" y="1190625"/>
              <a:ext cx="10275092" cy="2917032"/>
            </a:xfrm>
            <a:prstGeom prst="roundRect">
              <a:avLst>
                <a:gd name="adj" fmla="val 3606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948B9E40-7373-426B-8EB6-A1EB1F9493BA}"/>
                </a:ext>
              </a:extLst>
            </xdr:cNvPr>
            <xdr:cNvGraphicFramePr>
              <a:graphicFrameLocks/>
            </xdr:cNvGraphicFramePr>
          </xdr:nvGraphicFramePr>
          <xdr:xfrm>
            <a:off x="2483647" y="1345406"/>
            <a:ext cx="9851844" cy="270748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9" name="Retângulo: Cantos Superiores Arredondados 28">
            <a:extLst>
              <a:ext uri="{FF2B5EF4-FFF2-40B4-BE49-F238E27FC236}">
                <a16:creationId xmlns:a16="http://schemas.microsoft.com/office/drawing/2014/main" id="{04E90C24-1EAF-4464-9E27-CA84E66E9AD4}"/>
              </a:ext>
            </a:extLst>
          </xdr:cNvPr>
          <xdr:cNvSpPr/>
        </xdr:nvSpPr>
        <xdr:spPr>
          <a:xfrm>
            <a:off x="2083594" y="3178969"/>
            <a:ext cx="10298906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XBOX</a:t>
            </a:r>
            <a:r>
              <a:rPr lang="pt-BR" sz="1100" b="1" kern="1200" baseline="0">
                <a:latin typeface="Segoe UI" panose="020B0502040204020203" pitchFamily="34" charset="0"/>
                <a:cs typeface="Segoe UI" panose="020B0502040204020203" pitchFamily="34" charset="0"/>
              </a:rPr>
              <a:t> GAME PASS</a:t>
            </a:r>
            <a:endParaRPr lang="pt-BR" sz="1100" b="1" kern="12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393807</xdr:colOff>
      <xdr:row>1</xdr:row>
      <xdr:rowOff>0</xdr:rowOff>
    </xdr:from>
    <xdr:to>
      <xdr:col>0</xdr:col>
      <xdr:colOff>1114986</xdr:colOff>
      <xdr:row>4</xdr:row>
      <xdr:rowOff>13608</xdr:rowOff>
    </xdr:to>
    <xdr:sp macro="" textlink="">
      <xdr:nvSpPr>
        <xdr:cNvPr id="31" name="Elipse 30">
          <a:extLst>
            <a:ext uri="{FF2B5EF4-FFF2-40B4-BE49-F238E27FC236}">
              <a16:creationId xmlns:a16="http://schemas.microsoft.com/office/drawing/2014/main" id="{EC4DB9D8-18DD-49D2-B4D2-0B5AC081D94F}"/>
            </a:ext>
          </a:extLst>
        </xdr:cNvPr>
        <xdr:cNvSpPr/>
      </xdr:nvSpPr>
      <xdr:spPr>
        <a:xfrm>
          <a:off x="393807" y="190500"/>
          <a:ext cx="721179" cy="721179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109656</xdr:colOff>
      <xdr:row>5</xdr:row>
      <xdr:rowOff>16009</xdr:rowOff>
    </xdr:from>
    <xdr:to>
      <xdr:col>0</xdr:col>
      <xdr:colOff>1688085</xdr:colOff>
      <xdr:row>6</xdr:row>
      <xdr:rowOff>112059</xdr:rowOff>
    </xdr:to>
    <xdr:sp macro="" textlink="">
      <xdr:nvSpPr>
        <xdr:cNvPr id="32" name="Retângulo 31">
          <a:extLst>
            <a:ext uri="{FF2B5EF4-FFF2-40B4-BE49-F238E27FC236}">
              <a16:creationId xmlns:a16="http://schemas.microsoft.com/office/drawing/2014/main" id="{F5379FD9-A036-8872-5B5B-6762AA6D8744}"/>
            </a:ext>
          </a:extLst>
        </xdr:cNvPr>
        <xdr:cNvSpPr/>
      </xdr:nvSpPr>
      <xdr:spPr>
        <a:xfrm>
          <a:off x="109656" y="1009330"/>
          <a:ext cx="1578429" cy="23212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 kern="1200"/>
            <a:t>&gt; bem vinda, Liana</a:t>
          </a:r>
        </a:p>
      </xdr:txBody>
    </xdr:sp>
    <xdr:clientData/>
  </xdr:twoCellAnchor>
  <xdr:twoCellAnchor editAs="absolute">
    <xdr:from>
      <xdr:col>1</xdr:col>
      <xdr:colOff>223956</xdr:colOff>
      <xdr:row>2</xdr:row>
      <xdr:rowOff>228280</xdr:rowOff>
    </xdr:from>
    <xdr:to>
      <xdr:col>9</xdr:col>
      <xdr:colOff>314325</xdr:colOff>
      <xdr:row>5</xdr:row>
      <xdr:rowOff>10005</xdr:rowOff>
    </xdr:to>
    <xdr:sp macro="" textlink="">
      <xdr:nvSpPr>
        <xdr:cNvPr id="33" name="Retângulo 32">
          <a:extLst>
            <a:ext uri="{FF2B5EF4-FFF2-40B4-BE49-F238E27FC236}">
              <a16:creationId xmlns:a16="http://schemas.microsoft.com/office/drawing/2014/main" id="{FA5C664E-2699-4DBD-8F76-94B27D37C6C0}"/>
            </a:ext>
          </a:extLst>
        </xdr:cNvPr>
        <xdr:cNvSpPr/>
      </xdr:nvSpPr>
      <xdr:spPr>
        <a:xfrm>
          <a:off x="2052756" y="771205"/>
          <a:ext cx="4595694" cy="229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50" b="0" kern="1200">
              <a:solidFill>
                <a:schemeClr val="bg1">
                  <a:lumMod val="50000"/>
                </a:schemeClr>
              </a:solidFill>
            </a:rPr>
            <a:t>Calculation period: 01/01/2024 - 31/12/2024 | Update date: 17/10/2025</a:t>
          </a:r>
          <a:r>
            <a:rPr lang="pt-BR" sz="1050" b="0" kern="1200" baseline="0">
              <a:solidFill>
                <a:schemeClr val="bg1">
                  <a:lumMod val="50000"/>
                </a:schemeClr>
              </a:solidFill>
            </a:rPr>
            <a:t> 22</a:t>
          </a:r>
          <a:r>
            <a:rPr lang="pt-BR" sz="1050" b="0" kern="1200">
              <a:solidFill>
                <a:schemeClr val="bg1">
                  <a:lumMod val="50000"/>
                </a:schemeClr>
              </a:solidFill>
            </a:rPr>
            <a:t>:00:00</a:t>
          </a:r>
        </a:p>
      </xdr:txBody>
    </xdr:sp>
    <xdr:clientData/>
  </xdr:twoCellAnchor>
  <xdr:twoCellAnchor editAs="absolute">
    <xdr:from>
      <xdr:col>2</xdr:col>
      <xdr:colOff>63500</xdr:colOff>
      <xdr:row>19</xdr:row>
      <xdr:rowOff>93086</xdr:rowOff>
    </xdr:from>
    <xdr:to>
      <xdr:col>7</xdr:col>
      <xdr:colOff>329045</xdr:colOff>
      <xdr:row>31</xdr:row>
      <xdr:rowOff>0</xdr:rowOff>
    </xdr:to>
    <xdr:grpSp>
      <xdr:nvGrpSpPr>
        <xdr:cNvPr id="4" name="Agrupar 3">
          <a:extLst>
            <a:ext uri="{FF2B5EF4-FFF2-40B4-BE49-F238E27FC236}">
              <a16:creationId xmlns:a16="http://schemas.microsoft.com/office/drawing/2014/main" id="{13B139E4-7A6D-4C18-BC5C-5E06105D519C}"/>
            </a:ext>
          </a:extLst>
        </xdr:cNvPr>
        <xdr:cNvGrpSpPr/>
      </xdr:nvGrpSpPr>
      <xdr:grpSpPr>
        <a:xfrm>
          <a:off x="2127250" y="3569711"/>
          <a:ext cx="3281795" cy="2192914"/>
          <a:chOff x="2118573" y="1129992"/>
          <a:chExt cx="4656756" cy="1673141"/>
        </a:xfrm>
      </xdr:grpSpPr>
      <xdr:sp macro="" textlink="">
        <xdr:nvSpPr>
          <xdr:cNvPr id="5" name="Retângulo: Cantos Arredondados 4">
            <a:extLst>
              <a:ext uri="{FF2B5EF4-FFF2-40B4-BE49-F238E27FC236}">
                <a16:creationId xmlns:a16="http://schemas.microsoft.com/office/drawing/2014/main" id="{8D1EE7BE-B16C-762C-5BD2-E43E2296B68D}"/>
              </a:ext>
            </a:extLst>
          </xdr:cNvPr>
          <xdr:cNvSpPr/>
        </xdr:nvSpPr>
        <xdr:spPr>
          <a:xfrm>
            <a:off x="2119985" y="1291039"/>
            <a:ext cx="4655344" cy="1512094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C̳álculos!F57">
        <xdr:nvSpPr>
          <xdr:cNvPr id="9" name="Retângulo: Cantos Arredondados 8">
            <a:extLst>
              <a:ext uri="{FF2B5EF4-FFF2-40B4-BE49-F238E27FC236}">
                <a16:creationId xmlns:a16="http://schemas.microsoft.com/office/drawing/2014/main" id="{BE4B1BF4-6E6C-DEF1-872B-4415B0E61982}"/>
              </a:ext>
            </a:extLst>
          </xdr:cNvPr>
          <xdr:cNvSpPr/>
        </xdr:nvSpPr>
        <xdr:spPr>
          <a:xfrm>
            <a:off x="2820537" y="1659163"/>
            <a:ext cx="3026569" cy="942975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71EB8047-D04A-42D3-BD59-2D57B1D76A77}" type="TxLink">
              <a:rPr lang="en-US" sz="3600" b="0" i="0" u="none" strike="noStrike" kern="1200">
                <a:solidFill>
                  <a:srgbClr val="22C55E"/>
                </a:solidFill>
                <a:latin typeface="Aptos Narrow"/>
              </a:rPr>
              <a:t>148</a:t>
            </a:fld>
            <a:endParaRPr lang="pt-BR" sz="3600" kern="1200">
              <a:solidFill>
                <a:srgbClr val="22C55E"/>
              </a:solidFill>
            </a:endParaRPr>
          </a:p>
        </xdr:txBody>
      </xdr:sp>
      <xdr:sp macro="" textlink="">
        <xdr:nvSpPr>
          <xdr:cNvPr id="11" name="Retângulo: Cantos Superiores Arredondados 10">
            <a:extLst>
              <a:ext uri="{FF2B5EF4-FFF2-40B4-BE49-F238E27FC236}">
                <a16:creationId xmlns:a16="http://schemas.microsoft.com/office/drawing/2014/main" id="{0FC12947-DA6A-6EC6-58F0-FEF476063372}"/>
              </a:ext>
            </a:extLst>
          </xdr:cNvPr>
          <xdr:cNvSpPr/>
        </xdr:nvSpPr>
        <xdr:spPr>
          <a:xfrm>
            <a:off x="2118573" y="1129992"/>
            <a:ext cx="4655344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i="0">
                <a:solidFill>
                  <a:schemeClr val="lt1"/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TOTAL ACTIVE SELF-RENEWAL</a:t>
            </a:r>
            <a:endParaRPr lang="pt-BR" sz="1100" b="1" kern="12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14</xdr:col>
      <xdr:colOff>252629</xdr:colOff>
      <xdr:row>31</xdr:row>
      <xdr:rowOff>142229</xdr:rowOff>
    </xdr:from>
    <xdr:to>
      <xdr:col>25</xdr:col>
      <xdr:colOff>536864</xdr:colOff>
      <xdr:row>55</xdr:row>
      <xdr:rowOff>173184</xdr:rowOff>
    </xdr:to>
    <xdr:grpSp>
      <xdr:nvGrpSpPr>
        <xdr:cNvPr id="23" name="Agrupar 22">
          <a:extLst>
            <a:ext uri="{FF2B5EF4-FFF2-40B4-BE49-F238E27FC236}">
              <a16:creationId xmlns:a16="http://schemas.microsoft.com/office/drawing/2014/main" id="{12C0D8CD-D06E-97F9-D677-5B54D9EF773F}"/>
            </a:ext>
          </a:extLst>
        </xdr:cNvPr>
        <xdr:cNvGrpSpPr/>
      </xdr:nvGrpSpPr>
      <xdr:grpSpPr>
        <a:xfrm>
          <a:off x="9396629" y="5904854"/>
          <a:ext cx="6919985" cy="4602955"/>
          <a:chOff x="9240765" y="3536591"/>
          <a:chExt cx="7609826" cy="4602955"/>
        </a:xfrm>
      </xdr:grpSpPr>
      <xdr:sp macro="" textlink="">
        <xdr:nvSpPr>
          <xdr:cNvPr id="12" name="Retângulo: Cantos Arredondados 11">
            <a:extLst>
              <a:ext uri="{FF2B5EF4-FFF2-40B4-BE49-F238E27FC236}">
                <a16:creationId xmlns:a16="http://schemas.microsoft.com/office/drawing/2014/main" id="{ECB5755F-A09E-4FAC-19A1-31408F386FB0}"/>
              </a:ext>
            </a:extLst>
          </xdr:cNvPr>
          <xdr:cNvSpPr/>
        </xdr:nvSpPr>
        <xdr:spPr>
          <a:xfrm>
            <a:off x="9247909" y="3983183"/>
            <a:ext cx="7602682" cy="4069772"/>
          </a:xfrm>
          <a:prstGeom prst="roundRect">
            <a:avLst>
              <a:gd name="adj" fmla="val 6880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2" name="Gráfico 1">
            <a:extLst>
              <a:ext uri="{FF2B5EF4-FFF2-40B4-BE49-F238E27FC236}">
                <a16:creationId xmlns:a16="http://schemas.microsoft.com/office/drawing/2014/main" id="{58154B8A-D3B3-45D2-A557-DAECFD932CDC}"/>
              </a:ext>
            </a:extLst>
          </xdr:cNvPr>
          <xdr:cNvGraphicFramePr>
            <a:graphicFrameLocks/>
          </xdr:cNvGraphicFramePr>
        </xdr:nvGraphicFramePr>
        <xdr:xfrm>
          <a:off x="9965749" y="4246418"/>
          <a:ext cx="6157478" cy="389312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8"/>
          </a:graphicData>
        </a:graphic>
      </xdr:graphicFrame>
      <xdr:sp macro="" textlink="">
        <xdr:nvSpPr>
          <xdr:cNvPr id="13" name="Retângulo: Cantos Superiores Arredondados 12">
            <a:extLst>
              <a:ext uri="{FF2B5EF4-FFF2-40B4-BE49-F238E27FC236}">
                <a16:creationId xmlns:a16="http://schemas.microsoft.com/office/drawing/2014/main" id="{AB47E95C-5991-40DD-A268-28CDC58D045C}"/>
              </a:ext>
            </a:extLst>
          </xdr:cNvPr>
          <xdr:cNvSpPr/>
        </xdr:nvSpPr>
        <xdr:spPr>
          <a:xfrm>
            <a:off x="9240765" y="3536591"/>
            <a:ext cx="7609826" cy="63097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i="0">
                <a:solidFill>
                  <a:schemeClr val="lt1"/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TOTAL RENEWAL BY PLAN AND SUBSCRIPTION TYPE</a:t>
            </a:r>
            <a:endParaRPr lang="pt-BR" sz="1100" b="1" kern="12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7</xdr:col>
      <xdr:colOff>602673</xdr:colOff>
      <xdr:row>19</xdr:row>
      <xdr:rowOff>89621</xdr:rowOff>
    </xdr:from>
    <xdr:to>
      <xdr:col>13</xdr:col>
      <xdr:colOff>481446</xdr:colOff>
      <xdr:row>31</xdr:row>
      <xdr:rowOff>17318</xdr:rowOff>
    </xdr:to>
    <xdr:grpSp>
      <xdr:nvGrpSpPr>
        <xdr:cNvPr id="34" name="Agrupar 33">
          <a:extLst>
            <a:ext uri="{FF2B5EF4-FFF2-40B4-BE49-F238E27FC236}">
              <a16:creationId xmlns:a16="http://schemas.microsoft.com/office/drawing/2014/main" id="{36638B40-36C1-4FFD-8876-728912279210}"/>
            </a:ext>
          </a:extLst>
        </xdr:cNvPr>
        <xdr:cNvGrpSpPr/>
      </xdr:nvGrpSpPr>
      <xdr:grpSpPr>
        <a:xfrm>
          <a:off x="5682673" y="3566246"/>
          <a:ext cx="3339523" cy="2213697"/>
          <a:chOff x="2118573" y="1129992"/>
          <a:chExt cx="4656756" cy="1673141"/>
        </a:xfrm>
      </xdr:grpSpPr>
      <xdr:sp macro="" textlink="">
        <xdr:nvSpPr>
          <xdr:cNvPr id="35" name="Retângulo: Cantos Arredondados 34">
            <a:extLst>
              <a:ext uri="{FF2B5EF4-FFF2-40B4-BE49-F238E27FC236}">
                <a16:creationId xmlns:a16="http://schemas.microsoft.com/office/drawing/2014/main" id="{A43E3F67-4940-B3EB-7E4B-C421A7760B86}"/>
              </a:ext>
            </a:extLst>
          </xdr:cNvPr>
          <xdr:cNvSpPr/>
        </xdr:nvSpPr>
        <xdr:spPr>
          <a:xfrm>
            <a:off x="2119985" y="1291039"/>
            <a:ext cx="4655344" cy="1512094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C̳álculos!E77">
        <xdr:nvSpPr>
          <xdr:cNvPr id="36" name="Retângulo: Cantos Arredondados 35">
            <a:extLst>
              <a:ext uri="{FF2B5EF4-FFF2-40B4-BE49-F238E27FC236}">
                <a16:creationId xmlns:a16="http://schemas.microsoft.com/office/drawing/2014/main" id="{4F6A0621-C449-3F8C-47E5-F472C48B21BA}"/>
              </a:ext>
            </a:extLst>
          </xdr:cNvPr>
          <xdr:cNvSpPr/>
        </xdr:nvSpPr>
        <xdr:spPr>
          <a:xfrm>
            <a:off x="2820537" y="1659163"/>
            <a:ext cx="3615496" cy="942975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B7A55012-115D-4FC2-BC8E-0DE278804B04}" type="TxLink">
              <a:rPr lang="en-US" sz="3600" b="0" i="0" u="none" strike="noStrike" kern="1200">
                <a:solidFill>
                  <a:srgbClr val="22C55E"/>
                </a:solidFill>
                <a:latin typeface="Aptos Narrow"/>
              </a:rPr>
              <a:pPr algn="ctr"/>
              <a:t> R$ 7.633,00 </a:t>
            </a:fld>
            <a:endParaRPr lang="pt-BR" sz="3600" b="0" kern="1200">
              <a:solidFill>
                <a:srgbClr val="22C55E"/>
              </a:solidFill>
            </a:endParaRPr>
          </a:p>
        </xdr:txBody>
      </xdr:sp>
      <xdr:sp macro="" textlink="">
        <xdr:nvSpPr>
          <xdr:cNvPr id="37" name="Retângulo: Cantos Superiores Arredondados 36">
            <a:extLst>
              <a:ext uri="{FF2B5EF4-FFF2-40B4-BE49-F238E27FC236}">
                <a16:creationId xmlns:a16="http://schemas.microsoft.com/office/drawing/2014/main" id="{4AB09BB9-2C4C-2279-5982-B98BB78A0094}"/>
              </a:ext>
            </a:extLst>
          </xdr:cNvPr>
          <xdr:cNvSpPr/>
        </xdr:nvSpPr>
        <xdr:spPr>
          <a:xfrm>
            <a:off x="2118573" y="1129992"/>
            <a:ext cx="4655344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i="0">
                <a:solidFill>
                  <a:schemeClr val="lt1"/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TOTAL NET REVENUE FOR 2024</a:t>
            </a:r>
            <a:endParaRPr lang="pt-BR" sz="1100" b="1" kern="12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2</xdr:col>
      <xdr:colOff>138545</xdr:colOff>
      <xdr:row>35</xdr:row>
      <xdr:rowOff>69273</xdr:rowOff>
    </xdr:from>
    <xdr:to>
      <xdr:col>13</xdr:col>
      <xdr:colOff>460375</xdr:colOff>
      <xdr:row>53</xdr:row>
      <xdr:rowOff>142875</xdr:rowOff>
    </xdr:to>
    <xdr:graphicFrame macro="">
      <xdr:nvGraphicFramePr>
        <xdr:cNvPr id="38" name="Gráfico 37">
          <a:extLst>
            <a:ext uri="{FF2B5EF4-FFF2-40B4-BE49-F238E27FC236}">
              <a16:creationId xmlns:a16="http://schemas.microsoft.com/office/drawing/2014/main" id="{2943EE16-CB95-4EF1-A04F-CB4D946CE2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</xdr:col>
      <xdr:colOff>71654</xdr:colOff>
      <xdr:row>31</xdr:row>
      <xdr:rowOff>167629</xdr:rowOff>
    </xdr:from>
    <xdr:to>
      <xdr:col>13</xdr:col>
      <xdr:colOff>514639</xdr:colOff>
      <xdr:row>35</xdr:row>
      <xdr:rowOff>36606</xdr:rowOff>
    </xdr:to>
    <xdr:sp macro="" textlink="">
      <xdr:nvSpPr>
        <xdr:cNvPr id="39" name="Retângulo: Cantos Superiores Arredondados 38">
          <a:extLst>
            <a:ext uri="{FF2B5EF4-FFF2-40B4-BE49-F238E27FC236}">
              <a16:creationId xmlns:a16="http://schemas.microsoft.com/office/drawing/2014/main" id="{CD1DF8E3-6196-4D09-9B74-5179B6ECEBF8}"/>
            </a:ext>
          </a:extLst>
        </xdr:cNvPr>
        <xdr:cNvSpPr/>
      </xdr:nvSpPr>
      <xdr:spPr>
        <a:xfrm>
          <a:off x="2135404" y="5930254"/>
          <a:ext cx="6919985" cy="630977"/>
        </a:xfrm>
        <a:prstGeom prst="round2SameRect">
          <a:avLst/>
        </a:prstGeom>
        <a:solidFill>
          <a:srgbClr val="22C55E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i="0">
              <a:solidFill>
                <a:schemeClr val="lt1"/>
              </a:solidFill>
              <a:effectLst/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TOTAL NET REVENUE PER MONTH</a:t>
          </a:r>
          <a:endParaRPr lang="pt-BR" sz="1100" b="1" kern="1200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pe" refreshedDate="45650.439435069442" createdVersion="8" refreshedVersion="8" minRefreshableVersion="3" recordCount="295" xr:uid="{590B1258-CF1E-4807-8414-B70214B3D9F1}">
  <cacheSource type="worksheet">
    <worksheetSource name="Tabela1"/>
  </cacheSource>
  <cacheFields count="15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 count="294">
        <d v="2024-01-01T00:00:00"/>
        <d v="2024-01-15T00:00:00"/>
        <d v="2024-02-10T00:00:00"/>
        <d v="2024-02-20T00:00:00"/>
        <d v="2024-03-05T00:00:00"/>
        <d v="2024-03-02T00:00:00"/>
        <d v="2024-03-03T00:00:00"/>
        <d v="2024-03-04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</sharedItems>
      <fieldGroup par="14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 count="3">
        <n v="15"/>
        <n v="5"/>
        <n v="10"/>
      </sharedItems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  <cacheField name="Dias (Start Date)" numFmtId="0" databaseField="0">
      <fieldGroup base="3">
        <rangePr groupBy="days" startDate="2024-01-01T00:00:00" endDate="2024-12-17T00:00:00"/>
        <groupItems count="368">
          <s v="&lt;01/01/2024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17/12/2024"/>
        </groupItems>
      </fieldGroup>
    </cacheField>
    <cacheField name="Meses (Start Date)" numFmtId="0" databaseField="0">
      <fieldGroup base="3">
        <rangePr groupBy="months" startDate="2024-01-01T00:00:00" endDate="2024-12-17T00:00:00"/>
        <groupItems count="14">
          <s v="&lt;01/01/2024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17/12/2024"/>
        </groupItems>
      </fieldGroup>
    </cacheField>
  </cacheFields>
  <extLst>
    <ext xmlns:x14="http://schemas.microsoft.com/office/spreadsheetml/2009/9/main" uri="{725AE2AE-9491-48be-B2B4-4EB974FC3084}">
      <x14:pivotCacheDefinition pivotCacheId="176595658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x v="0"/>
    <x v="0"/>
    <x v="0"/>
    <x v="0"/>
    <s v="Yes"/>
    <x v="0"/>
    <s v="Yes"/>
    <n v="20"/>
    <n v="5"/>
    <n v="60"/>
  </r>
  <r>
    <n v="3232"/>
    <x v="1"/>
    <x v="1"/>
    <x v="1"/>
    <x v="1"/>
    <x v="1"/>
    <x v="1"/>
    <s v="No"/>
    <x v="1"/>
    <s v="No"/>
    <n v="0"/>
    <n v="0"/>
    <n v="5"/>
  </r>
  <r>
    <n v="3233"/>
    <x v="2"/>
    <x v="2"/>
    <x v="2"/>
    <x v="0"/>
    <x v="2"/>
    <x v="2"/>
    <s v="No"/>
    <x v="1"/>
    <s v="Yes"/>
    <n v="20"/>
    <n v="10"/>
    <n v="20"/>
  </r>
  <r>
    <n v="3234"/>
    <x v="3"/>
    <x v="0"/>
    <x v="3"/>
    <x v="1"/>
    <x v="0"/>
    <x v="0"/>
    <s v="Yes"/>
    <x v="0"/>
    <s v="Yes"/>
    <n v="20"/>
    <n v="3"/>
    <n v="62"/>
  </r>
  <r>
    <n v="3235"/>
    <x v="4"/>
    <x v="1"/>
    <x v="4"/>
    <x v="0"/>
    <x v="1"/>
    <x v="0"/>
    <s v="No"/>
    <x v="1"/>
    <s v="No"/>
    <n v="0"/>
    <n v="1"/>
    <n v="4"/>
  </r>
  <r>
    <n v="3236"/>
    <x v="5"/>
    <x v="2"/>
    <x v="5"/>
    <x v="1"/>
    <x v="2"/>
    <x v="0"/>
    <s v="No"/>
    <x v="1"/>
    <s v="Yes"/>
    <n v="20"/>
    <n v="2"/>
    <n v="28"/>
  </r>
  <r>
    <n v="3237"/>
    <x v="6"/>
    <x v="0"/>
    <x v="6"/>
    <x v="0"/>
    <x v="0"/>
    <x v="2"/>
    <s v="Yes"/>
    <x v="0"/>
    <s v="Yes"/>
    <n v="20"/>
    <n v="10"/>
    <n v="55"/>
  </r>
  <r>
    <n v="3238"/>
    <x v="7"/>
    <x v="1"/>
    <x v="7"/>
    <x v="0"/>
    <x v="1"/>
    <x v="1"/>
    <s v="No"/>
    <x v="1"/>
    <s v="No"/>
    <n v="0"/>
    <n v="0"/>
    <n v="5"/>
  </r>
  <r>
    <n v="3239"/>
    <x v="8"/>
    <x v="0"/>
    <x v="4"/>
    <x v="1"/>
    <x v="0"/>
    <x v="0"/>
    <s v="Yes"/>
    <x v="0"/>
    <s v="Yes"/>
    <n v="20"/>
    <n v="5"/>
    <n v="60"/>
  </r>
  <r>
    <n v="3240"/>
    <x v="9"/>
    <x v="2"/>
    <x v="8"/>
    <x v="0"/>
    <x v="2"/>
    <x v="2"/>
    <s v="No"/>
    <x v="1"/>
    <s v="Yes"/>
    <n v="20"/>
    <n v="15"/>
    <n v="15"/>
  </r>
  <r>
    <n v="3241"/>
    <x v="10"/>
    <x v="1"/>
    <x v="9"/>
    <x v="1"/>
    <x v="1"/>
    <x v="0"/>
    <s v="No"/>
    <x v="1"/>
    <s v="No"/>
    <n v="0"/>
    <n v="1"/>
    <n v="4"/>
  </r>
  <r>
    <n v="3242"/>
    <x v="11"/>
    <x v="0"/>
    <x v="10"/>
    <x v="0"/>
    <x v="0"/>
    <x v="1"/>
    <s v="Yes"/>
    <x v="0"/>
    <s v="Yes"/>
    <n v="20"/>
    <n v="20"/>
    <n v="45"/>
  </r>
  <r>
    <n v="3243"/>
    <x v="12"/>
    <x v="2"/>
    <x v="11"/>
    <x v="1"/>
    <x v="2"/>
    <x v="0"/>
    <s v="No"/>
    <x v="1"/>
    <s v="Yes"/>
    <n v="20"/>
    <n v="10"/>
    <n v="20"/>
  </r>
  <r>
    <n v="3244"/>
    <x v="13"/>
    <x v="1"/>
    <x v="12"/>
    <x v="0"/>
    <x v="1"/>
    <x v="2"/>
    <s v="No"/>
    <x v="1"/>
    <s v="No"/>
    <n v="0"/>
    <n v="0"/>
    <n v="5"/>
  </r>
  <r>
    <n v="3245"/>
    <x v="14"/>
    <x v="0"/>
    <x v="13"/>
    <x v="1"/>
    <x v="0"/>
    <x v="0"/>
    <s v="Yes"/>
    <x v="0"/>
    <s v="Yes"/>
    <n v="20"/>
    <n v="8"/>
    <n v="57"/>
  </r>
  <r>
    <n v="3246"/>
    <x v="15"/>
    <x v="2"/>
    <x v="14"/>
    <x v="0"/>
    <x v="2"/>
    <x v="1"/>
    <s v="No"/>
    <x v="1"/>
    <s v="Yes"/>
    <n v="20"/>
    <n v="12"/>
    <n v="18"/>
  </r>
  <r>
    <n v="3247"/>
    <x v="16"/>
    <x v="1"/>
    <x v="15"/>
    <x v="1"/>
    <x v="1"/>
    <x v="0"/>
    <s v="No"/>
    <x v="1"/>
    <s v="No"/>
    <n v="0"/>
    <n v="2"/>
    <n v="3"/>
  </r>
  <r>
    <n v="3248"/>
    <x v="17"/>
    <x v="0"/>
    <x v="16"/>
    <x v="0"/>
    <x v="0"/>
    <x v="2"/>
    <s v="Yes"/>
    <x v="0"/>
    <s v="Yes"/>
    <n v="20"/>
    <n v="7"/>
    <n v="58"/>
  </r>
  <r>
    <n v="3249"/>
    <x v="18"/>
    <x v="2"/>
    <x v="17"/>
    <x v="1"/>
    <x v="2"/>
    <x v="0"/>
    <s v="No"/>
    <x v="1"/>
    <s v="Yes"/>
    <n v="20"/>
    <n v="5"/>
    <n v="25"/>
  </r>
  <r>
    <n v="3250"/>
    <x v="19"/>
    <x v="1"/>
    <x v="18"/>
    <x v="0"/>
    <x v="1"/>
    <x v="1"/>
    <s v="No"/>
    <x v="1"/>
    <s v="No"/>
    <n v="0"/>
    <n v="0"/>
    <n v="5"/>
  </r>
  <r>
    <n v="3251"/>
    <x v="20"/>
    <x v="0"/>
    <x v="19"/>
    <x v="1"/>
    <x v="0"/>
    <x v="0"/>
    <s v="Yes"/>
    <x v="0"/>
    <s v="Yes"/>
    <n v="20"/>
    <n v="3"/>
    <n v="62"/>
  </r>
  <r>
    <n v="3252"/>
    <x v="21"/>
    <x v="2"/>
    <x v="20"/>
    <x v="0"/>
    <x v="2"/>
    <x v="2"/>
    <s v="No"/>
    <x v="1"/>
    <s v="Yes"/>
    <n v="20"/>
    <n v="15"/>
    <n v="15"/>
  </r>
  <r>
    <n v="3253"/>
    <x v="22"/>
    <x v="1"/>
    <x v="21"/>
    <x v="1"/>
    <x v="1"/>
    <x v="0"/>
    <s v="No"/>
    <x v="1"/>
    <s v="No"/>
    <n v="0"/>
    <n v="1"/>
    <n v="4"/>
  </r>
  <r>
    <n v="3254"/>
    <x v="23"/>
    <x v="0"/>
    <x v="22"/>
    <x v="0"/>
    <x v="0"/>
    <x v="1"/>
    <s v="Yes"/>
    <x v="0"/>
    <s v="Yes"/>
    <n v="20"/>
    <n v="20"/>
    <n v="45"/>
  </r>
  <r>
    <n v="3255"/>
    <x v="24"/>
    <x v="2"/>
    <x v="23"/>
    <x v="1"/>
    <x v="2"/>
    <x v="0"/>
    <s v="No"/>
    <x v="1"/>
    <s v="Yes"/>
    <n v="20"/>
    <n v="10"/>
    <n v="20"/>
  </r>
  <r>
    <n v="3256"/>
    <x v="25"/>
    <x v="1"/>
    <x v="24"/>
    <x v="0"/>
    <x v="1"/>
    <x v="2"/>
    <s v="No"/>
    <x v="1"/>
    <s v="No"/>
    <n v="0"/>
    <n v="0"/>
    <n v="5"/>
  </r>
  <r>
    <n v="3257"/>
    <x v="26"/>
    <x v="0"/>
    <x v="25"/>
    <x v="1"/>
    <x v="0"/>
    <x v="0"/>
    <s v="Yes"/>
    <x v="0"/>
    <s v="Yes"/>
    <n v="20"/>
    <n v="5"/>
    <n v="60"/>
  </r>
  <r>
    <n v="3258"/>
    <x v="27"/>
    <x v="2"/>
    <x v="26"/>
    <x v="0"/>
    <x v="2"/>
    <x v="1"/>
    <s v="No"/>
    <x v="1"/>
    <s v="Yes"/>
    <n v="20"/>
    <n v="15"/>
    <n v="15"/>
  </r>
  <r>
    <n v="3259"/>
    <x v="28"/>
    <x v="1"/>
    <x v="27"/>
    <x v="1"/>
    <x v="1"/>
    <x v="0"/>
    <s v="No"/>
    <x v="1"/>
    <s v="No"/>
    <n v="0"/>
    <n v="1"/>
    <n v="4"/>
  </r>
  <r>
    <n v="3260"/>
    <x v="29"/>
    <x v="0"/>
    <x v="28"/>
    <x v="0"/>
    <x v="0"/>
    <x v="2"/>
    <s v="Yes"/>
    <x v="0"/>
    <s v="Yes"/>
    <n v="20"/>
    <n v="7"/>
    <n v="58"/>
  </r>
  <r>
    <n v="3261"/>
    <x v="30"/>
    <x v="2"/>
    <x v="29"/>
    <x v="1"/>
    <x v="2"/>
    <x v="0"/>
    <s v="No"/>
    <x v="1"/>
    <s v="Yes"/>
    <n v="20"/>
    <n v="10"/>
    <n v="20"/>
  </r>
  <r>
    <n v="3262"/>
    <x v="31"/>
    <x v="1"/>
    <x v="30"/>
    <x v="0"/>
    <x v="1"/>
    <x v="1"/>
    <s v="No"/>
    <x v="1"/>
    <s v="No"/>
    <n v="0"/>
    <n v="0"/>
    <n v="5"/>
  </r>
  <r>
    <n v="3263"/>
    <x v="32"/>
    <x v="0"/>
    <x v="31"/>
    <x v="1"/>
    <x v="0"/>
    <x v="0"/>
    <s v="Yes"/>
    <x v="0"/>
    <s v="Yes"/>
    <n v="20"/>
    <n v="3"/>
    <n v="62"/>
  </r>
  <r>
    <n v="3264"/>
    <x v="33"/>
    <x v="2"/>
    <x v="32"/>
    <x v="0"/>
    <x v="2"/>
    <x v="2"/>
    <s v="No"/>
    <x v="1"/>
    <s v="Yes"/>
    <n v="20"/>
    <n v="15"/>
    <n v="15"/>
  </r>
  <r>
    <n v="3265"/>
    <x v="34"/>
    <x v="1"/>
    <x v="33"/>
    <x v="1"/>
    <x v="1"/>
    <x v="0"/>
    <s v="No"/>
    <x v="1"/>
    <s v="No"/>
    <n v="0"/>
    <n v="1"/>
    <n v="4"/>
  </r>
  <r>
    <n v="3266"/>
    <x v="35"/>
    <x v="1"/>
    <x v="34"/>
    <x v="0"/>
    <x v="1"/>
    <x v="0"/>
    <s v="No"/>
    <x v="1"/>
    <s v="No"/>
    <n v="0"/>
    <n v="0"/>
    <n v="5"/>
  </r>
  <r>
    <n v="3267"/>
    <x v="36"/>
    <x v="0"/>
    <x v="35"/>
    <x v="1"/>
    <x v="0"/>
    <x v="2"/>
    <s v="Yes"/>
    <x v="0"/>
    <s v="Yes"/>
    <n v="20"/>
    <n v="7"/>
    <n v="58"/>
  </r>
  <r>
    <n v="3268"/>
    <x v="37"/>
    <x v="2"/>
    <x v="36"/>
    <x v="0"/>
    <x v="2"/>
    <x v="1"/>
    <s v="No"/>
    <x v="1"/>
    <s v="Yes"/>
    <n v="20"/>
    <n v="10"/>
    <n v="20"/>
  </r>
  <r>
    <n v="3269"/>
    <x v="38"/>
    <x v="1"/>
    <x v="37"/>
    <x v="1"/>
    <x v="1"/>
    <x v="2"/>
    <s v="No"/>
    <x v="1"/>
    <s v="No"/>
    <n v="0"/>
    <n v="1"/>
    <n v="4"/>
  </r>
  <r>
    <n v="3270"/>
    <x v="39"/>
    <x v="0"/>
    <x v="38"/>
    <x v="0"/>
    <x v="0"/>
    <x v="0"/>
    <s v="Yes"/>
    <x v="0"/>
    <s v="Yes"/>
    <n v="20"/>
    <n v="15"/>
    <n v="50"/>
  </r>
  <r>
    <n v="3271"/>
    <x v="40"/>
    <x v="2"/>
    <x v="39"/>
    <x v="1"/>
    <x v="2"/>
    <x v="0"/>
    <s v="No"/>
    <x v="1"/>
    <s v="Yes"/>
    <n v="20"/>
    <n v="5"/>
    <n v="25"/>
  </r>
  <r>
    <n v="3272"/>
    <x v="41"/>
    <x v="1"/>
    <x v="40"/>
    <x v="0"/>
    <x v="1"/>
    <x v="1"/>
    <s v="No"/>
    <x v="1"/>
    <s v="No"/>
    <n v="0"/>
    <n v="0"/>
    <n v="5"/>
  </r>
  <r>
    <n v="3273"/>
    <x v="42"/>
    <x v="0"/>
    <x v="41"/>
    <x v="1"/>
    <x v="0"/>
    <x v="2"/>
    <s v="Yes"/>
    <x v="0"/>
    <s v="Yes"/>
    <n v="20"/>
    <n v="20"/>
    <n v="45"/>
  </r>
  <r>
    <n v="3274"/>
    <x v="43"/>
    <x v="2"/>
    <x v="42"/>
    <x v="0"/>
    <x v="2"/>
    <x v="2"/>
    <s v="No"/>
    <x v="1"/>
    <s v="Yes"/>
    <n v="20"/>
    <n v="12"/>
    <n v="18"/>
  </r>
  <r>
    <n v="3275"/>
    <x v="44"/>
    <x v="1"/>
    <x v="43"/>
    <x v="1"/>
    <x v="1"/>
    <x v="0"/>
    <s v="No"/>
    <x v="1"/>
    <s v="No"/>
    <n v="0"/>
    <n v="2"/>
    <n v="3"/>
  </r>
  <r>
    <n v="3276"/>
    <x v="45"/>
    <x v="0"/>
    <x v="44"/>
    <x v="0"/>
    <x v="0"/>
    <x v="1"/>
    <s v="Yes"/>
    <x v="0"/>
    <s v="Yes"/>
    <n v="20"/>
    <n v="5"/>
    <n v="60"/>
  </r>
  <r>
    <n v="3277"/>
    <x v="46"/>
    <x v="2"/>
    <x v="45"/>
    <x v="1"/>
    <x v="2"/>
    <x v="0"/>
    <s v="No"/>
    <x v="1"/>
    <s v="Yes"/>
    <n v="20"/>
    <n v="10"/>
    <n v="20"/>
  </r>
  <r>
    <n v="3278"/>
    <x v="47"/>
    <x v="1"/>
    <x v="46"/>
    <x v="0"/>
    <x v="1"/>
    <x v="2"/>
    <s v="No"/>
    <x v="1"/>
    <s v="No"/>
    <n v="0"/>
    <n v="0"/>
    <n v="5"/>
  </r>
  <r>
    <n v="3279"/>
    <x v="48"/>
    <x v="0"/>
    <x v="47"/>
    <x v="1"/>
    <x v="0"/>
    <x v="0"/>
    <s v="Yes"/>
    <x v="0"/>
    <s v="Yes"/>
    <n v="20"/>
    <n v="3"/>
    <n v="62"/>
  </r>
  <r>
    <n v="3280"/>
    <x v="49"/>
    <x v="2"/>
    <x v="48"/>
    <x v="0"/>
    <x v="2"/>
    <x v="1"/>
    <s v="No"/>
    <x v="1"/>
    <s v="Yes"/>
    <n v="20"/>
    <n v="15"/>
    <n v="15"/>
  </r>
  <r>
    <n v="3281"/>
    <x v="50"/>
    <x v="1"/>
    <x v="49"/>
    <x v="1"/>
    <x v="1"/>
    <x v="0"/>
    <s v="No"/>
    <x v="1"/>
    <s v="No"/>
    <n v="0"/>
    <n v="1"/>
    <n v="4"/>
  </r>
  <r>
    <n v="3282"/>
    <x v="51"/>
    <x v="0"/>
    <x v="50"/>
    <x v="0"/>
    <x v="0"/>
    <x v="2"/>
    <s v="Yes"/>
    <x v="0"/>
    <s v="Yes"/>
    <n v="20"/>
    <n v="7"/>
    <n v="58"/>
  </r>
  <r>
    <n v="3283"/>
    <x v="52"/>
    <x v="2"/>
    <x v="51"/>
    <x v="1"/>
    <x v="2"/>
    <x v="0"/>
    <s v="No"/>
    <x v="1"/>
    <s v="Yes"/>
    <n v="20"/>
    <n v="10"/>
    <n v="20"/>
  </r>
  <r>
    <n v="3284"/>
    <x v="53"/>
    <x v="1"/>
    <x v="52"/>
    <x v="0"/>
    <x v="1"/>
    <x v="1"/>
    <s v="No"/>
    <x v="1"/>
    <s v="No"/>
    <n v="0"/>
    <n v="0"/>
    <n v="5"/>
  </r>
  <r>
    <n v="3285"/>
    <x v="54"/>
    <x v="0"/>
    <x v="53"/>
    <x v="1"/>
    <x v="0"/>
    <x v="0"/>
    <s v="Yes"/>
    <x v="0"/>
    <s v="Yes"/>
    <n v="20"/>
    <n v="20"/>
    <n v="45"/>
  </r>
  <r>
    <n v="3286"/>
    <x v="55"/>
    <x v="2"/>
    <x v="54"/>
    <x v="0"/>
    <x v="2"/>
    <x v="2"/>
    <s v="No"/>
    <x v="1"/>
    <s v="Yes"/>
    <n v="20"/>
    <n v="15"/>
    <n v="15"/>
  </r>
  <r>
    <n v="3287"/>
    <x v="56"/>
    <x v="1"/>
    <x v="55"/>
    <x v="1"/>
    <x v="1"/>
    <x v="0"/>
    <s v="No"/>
    <x v="1"/>
    <s v="No"/>
    <n v="0"/>
    <n v="1"/>
    <n v="4"/>
  </r>
  <r>
    <n v="3288"/>
    <x v="57"/>
    <x v="0"/>
    <x v="56"/>
    <x v="0"/>
    <x v="0"/>
    <x v="1"/>
    <s v="Yes"/>
    <x v="0"/>
    <s v="Yes"/>
    <n v="20"/>
    <n v="3"/>
    <n v="62"/>
  </r>
  <r>
    <n v="3289"/>
    <x v="58"/>
    <x v="2"/>
    <x v="57"/>
    <x v="1"/>
    <x v="2"/>
    <x v="0"/>
    <s v="No"/>
    <x v="1"/>
    <s v="Yes"/>
    <n v="20"/>
    <n v="10"/>
    <n v="20"/>
  </r>
  <r>
    <n v="3290"/>
    <x v="59"/>
    <x v="1"/>
    <x v="58"/>
    <x v="0"/>
    <x v="1"/>
    <x v="2"/>
    <s v="No"/>
    <x v="1"/>
    <s v="No"/>
    <n v="0"/>
    <n v="0"/>
    <n v="5"/>
  </r>
  <r>
    <n v="3291"/>
    <x v="60"/>
    <x v="0"/>
    <x v="59"/>
    <x v="1"/>
    <x v="0"/>
    <x v="0"/>
    <s v="Yes"/>
    <x v="0"/>
    <s v="Yes"/>
    <n v="20"/>
    <n v="5"/>
    <n v="60"/>
  </r>
  <r>
    <n v="3292"/>
    <x v="61"/>
    <x v="2"/>
    <x v="60"/>
    <x v="0"/>
    <x v="2"/>
    <x v="1"/>
    <s v="No"/>
    <x v="1"/>
    <s v="Yes"/>
    <n v="20"/>
    <n v="15"/>
    <n v="15"/>
  </r>
  <r>
    <n v="3293"/>
    <x v="62"/>
    <x v="1"/>
    <x v="61"/>
    <x v="1"/>
    <x v="1"/>
    <x v="0"/>
    <s v="No"/>
    <x v="1"/>
    <s v="No"/>
    <n v="0"/>
    <n v="1"/>
    <n v="4"/>
  </r>
  <r>
    <n v="3294"/>
    <x v="63"/>
    <x v="0"/>
    <x v="62"/>
    <x v="0"/>
    <x v="0"/>
    <x v="2"/>
    <s v="Yes"/>
    <x v="0"/>
    <s v="Yes"/>
    <n v="20"/>
    <n v="20"/>
    <n v="45"/>
  </r>
  <r>
    <n v="3295"/>
    <x v="64"/>
    <x v="2"/>
    <x v="63"/>
    <x v="1"/>
    <x v="2"/>
    <x v="0"/>
    <s v="No"/>
    <x v="1"/>
    <s v="Yes"/>
    <n v="20"/>
    <n v="5"/>
    <n v="25"/>
  </r>
  <r>
    <n v="3296"/>
    <x v="65"/>
    <x v="1"/>
    <x v="64"/>
    <x v="1"/>
    <x v="1"/>
    <x v="0"/>
    <s v="No"/>
    <x v="1"/>
    <s v="No"/>
    <n v="0"/>
    <n v="0"/>
    <n v="5"/>
  </r>
  <r>
    <n v="3297"/>
    <x v="66"/>
    <x v="0"/>
    <x v="65"/>
    <x v="0"/>
    <x v="0"/>
    <x v="2"/>
    <s v="Yes"/>
    <x v="0"/>
    <s v="Yes"/>
    <n v="20"/>
    <n v="7"/>
    <n v="58"/>
  </r>
  <r>
    <n v="3298"/>
    <x v="67"/>
    <x v="2"/>
    <x v="66"/>
    <x v="1"/>
    <x v="2"/>
    <x v="1"/>
    <s v="No"/>
    <x v="1"/>
    <s v="Yes"/>
    <n v="20"/>
    <n v="10"/>
    <n v="20"/>
  </r>
  <r>
    <n v="3299"/>
    <x v="68"/>
    <x v="1"/>
    <x v="67"/>
    <x v="0"/>
    <x v="1"/>
    <x v="2"/>
    <s v="No"/>
    <x v="1"/>
    <s v="No"/>
    <n v="0"/>
    <n v="1"/>
    <n v="4"/>
  </r>
  <r>
    <n v="3300"/>
    <x v="69"/>
    <x v="0"/>
    <x v="68"/>
    <x v="1"/>
    <x v="0"/>
    <x v="0"/>
    <s v="Yes"/>
    <x v="0"/>
    <s v="Yes"/>
    <n v="20"/>
    <n v="15"/>
    <n v="50"/>
  </r>
  <r>
    <n v="3301"/>
    <x v="70"/>
    <x v="2"/>
    <x v="69"/>
    <x v="0"/>
    <x v="2"/>
    <x v="0"/>
    <s v="No"/>
    <x v="1"/>
    <s v="Yes"/>
    <n v="20"/>
    <n v="5"/>
    <n v="25"/>
  </r>
  <r>
    <n v="3302"/>
    <x v="71"/>
    <x v="1"/>
    <x v="70"/>
    <x v="1"/>
    <x v="1"/>
    <x v="1"/>
    <s v="No"/>
    <x v="1"/>
    <s v="No"/>
    <n v="0"/>
    <n v="0"/>
    <n v="5"/>
  </r>
  <r>
    <n v="3303"/>
    <x v="72"/>
    <x v="0"/>
    <x v="71"/>
    <x v="0"/>
    <x v="0"/>
    <x v="2"/>
    <s v="Yes"/>
    <x v="0"/>
    <s v="Yes"/>
    <n v="20"/>
    <n v="20"/>
    <n v="45"/>
  </r>
  <r>
    <n v="3304"/>
    <x v="73"/>
    <x v="2"/>
    <x v="72"/>
    <x v="1"/>
    <x v="2"/>
    <x v="2"/>
    <s v="No"/>
    <x v="1"/>
    <s v="Yes"/>
    <n v="20"/>
    <n v="12"/>
    <n v="18"/>
  </r>
  <r>
    <n v="3305"/>
    <x v="74"/>
    <x v="1"/>
    <x v="73"/>
    <x v="0"/>
    <x v="1"/>
    <x v="0"/>
    <s v="No"/>
    <x v="1"/>
    <s v="No"/>
    <n v="0"/>
    <n v="2"/>
    <n v="3"/>
  </r>
  <r>
    <n v="3306"/>
    <x v="75"/>
    <x v="0"/>
    <x v="74"/>
    <x v="1"/>
    <x v="0"/>
    <x v="1"/>
    <s v="Yes"/>
    <x v="0"/>
    <s v="Yes"/>
    <n v="20"/>
    <n v="5"/>
    <n v="60"/>
  </r>
  <r>
    <n v="3307"/>
    <x v="76"/>
    <x v="2"/>
    <x v="75"/>
    <x v="0"/>
    <x v="2"/>
    <x v="0"/>
    <s v="No"/>
    <x v="1"/>
    <s v="Yes"/>
    <n v="20"/>
    <n v="10"/>
    <n v="20"/>
  </r>
  <r>
    <n v="3308"/>
    <x v="77"/>
    <x v="1"/>
    <x v="76"/>
    <x v="1"/>
    <x v="1"/>
    <x v="2"/>
    <s v="No"/>
    <x v="1"/>
    <s v="No"/>
    <n v="0"/>
    <n v="0"/>
    <n v="5"/>
  </r>
  <r>
    <n v="3309"/>
    <x v="78"/>
    <x v="0"/>
    <x v="77"/>
    <x v="0"/>
    <x v="0"/>
    <x v="0"/>
    <s v="Yes"/>
    <x v="0"/>
    <s v="Yes"/>
    <n v="20"/>
    <n v="3"/>
    <n v="62"/>
  </r>
  <r>
    <n v="3310"/>
    <x v="79"/>
    <x v="2"/>
    <x v="78"/>
    <x v="1"/>
    <x v="2"/>
    <x v="1"/>
    <s v="No"/>
    <x v="1"/>
    <s v="Yes"/>
    <n v="20"/>
    <n v="15"/>
    <n v="15"/>
  </r>
  <r>
    <n v="3311"/>
    <x v="80"/>
    <x v="1"/>
    <x v="79"/>
    <x v="0"/>
    <x v="1"/>
    <x v="0"/>
    <s v="No"/>
    <x v="1"/>
    <s v="No"/>
    <n v="0"/>
    <n v="1"/>
    <n v="4"/>
  </r>
  <r>
    <n v="3312"/>
    <x v="81"/>
    <x v="0"/>
    <x v="80"/>
    <x v="1"/>
    <x v="0"/>
    <x v="2"/>
    <s v="Yes"/>
    <x v="0"/>
    <s v="Yes"/>
    <n v="20"/>
    <n v="7"/>
    <n v="58"/>
  </r>
  <r>
    <n v="3313"/>
    <x v="82"/>
    <x v="2"/>
    <x v="81"/>
    <x v="0"/>
    <x v="2"/>
    <x v="0"/>
    <s v="No"/>
    <x v="1"/>
    <s v="Yes"/>
    <n v="20"/>
    <n v="10"/>
    <n v="20"/>
  </r>
  <r>
    <n v="3314"/>
    <x v="83"/>
    <x v="1"/>
    <x v="82"/>
    <x v="1"/>
    <x v="1"/>
    <x v="1"/>
    <s v="No"/>
    <x v="1"/>
    <s v="No"/>
    <n v="0"/>
    <n v="0"/>
    <n v="5"/>
  </r>
  <r>
    <n v="3315"/>
    <x v="84"/>
    <x v="0"/>
    <x v="83"/>
    <x v="0"/>
    <x v="0"/>
    <x v="0"/>
    <s v="Yes"/>
    <x v="0"/>
    <s v="Yes"/>
    <n v="20"/>
    <n v="20"/>
    <n v="45"/>
  </r>
  <r>
    <n v="3316"/>
    <x v="85"/>
    <x v="2"/>
    <x v="84"/>
    <x v="1"/>
    <x v="2"/>
    <x v="2"/>
    <s v="No"/>
    <x v="1"/>
    <s v="Yes"/>
    <n v="20"/>
    <n v="15"/>
    <n v="15"/>
  </r>
  <r>
    <n v="3317"/>
    <x v="86"/>
    <x v="1"/>
    <x v="85"/>
    <x v="0"/>
    <x v="1"/>
    <x v="0"/>
    <s v="No"/>
    <x v="1"/>
    <s v="No"/>
    <n v="0"/>
    <n v="1"/>
    <n v="4"/>
  </r>
  <r>
    <n v="3318"/>
    <x v="87"/>
    <x v="0"/>
    <x v="86"/>
    <x v="1"/>
    <x v="0"/>
    <x v="1"/>
    <s v="Yes"/>
    <x v="0"/>
    <s v="Yes"/>
    <n v="20"/>
    <n v="3"/>
    <n v="62"/>
  </r>
  <r>
    <n v="3319"/>
    <x v="88"/>
    <x v="2"/>
    <x v="87"/>
    <x v="0"/>
    <x v="2"/>
    <x v="0"/>
    <s v="No"/>
    <x v="1"/>
    <s v="Yes"/>
    <n v="20"/>
    <n v="10"/>
    <n v="20"/>
  </r>
  <r>
    <n v="3320"/>
    <x v="89"/>
    <x v="1"/>
    <x v="88"/>
    <x v="1"/>
    <x v="1"/>
    <x v="2"/>
    <s v="No"/>
    <x v="1"/>
    <s v="No"/>
    <n v="0"/>
    <n v="0"/>
    <n v="5"/>
  </r>
  <r>
    <n v="3321"/>
    <x v="90"/>
    <x v="0"/>
    <x v="89"/>
    <x v="0"/>
    <x v="0"/>
    <x v="0"/>
    <s v="Yes"/>
    <x v="0"/>
    <s v="Yes"/>
    <n v="20"/>
    <n v="5"/>
    <n v="60"/>
  </r>
  <r>
    <n v="3322"/>
    <x v="91"/>
    <x v="2"/>
    <x v="90"/>
    <x v="1"/>
    <x v="2"/>
    <x v="1"/>
    <s v="No"/>
    <x v="1"/>
    <s v="Yes"/>
    <n v="20"/>
    <n v="15"/>
    <n v="15"/>
  </r>
  <r>
    <n v="3323"/>
    <x v="92"/>
    <x v="1"/>
    <x v="91"/>
    <x v="0"/>
    <x v="1"/>
    <x v="0"/>
    <s v="No"/>
    <x v="1"/>
    <s v="No"/>
    <n v="0"/>
    <n v="1"/>
    <n v="4"/>
  </r>
  <r>
    <n v="3324"/>
    <x v="93"/>
    <x v="0"/>
    <x v="92"/>
    <x v="1"/>
    <x v="0"/>
    <x v="2"/>
    <s v="Yes"/>
    <x v="0"/>
    <s v="Yes"/>
    <n v="20"/>
    <n v="20"/>
    <n v="45"/>
  </r>
  <r>
    <n v="3325"/>
    <x v="94"/>
    <x v="2"/>
    <x v="93"/>
    <x v="0"/>
    <x v="2"/>
    <x v="2"/>
    <s v="No"/>
    <x v="1"/>
    <s v="Yes"/>
    <n v="20"/>
    <n v="15"/>
    <n v="15"/>
  </r>
  <r>
    <n v="3326"/>
    <x v="95"/>
    <x v="1"/>
    <x v="94"/>
    <x v="1"/>
    <x v="1"/>
    <x v="1"/>
    <s v="No"/>
    <x v="1"/>
    <s v="No"/>
    <n v="0"/>
    <n v="0"/>
    <n v="5"/>
  </r>
  <r>
    <n v="3327"/>
    <x v="96"/>
    <x v="0"/>
    <x v="95"/>
    <x v="0"/>
    <x v="0"/>
    <x v="0"/>
    <s v="Yes"/>
    <x v="0"/>
    <s v="Yes"/>
    <n v="20"/>
    <n v="7"/>
    <n v="58"/>
  </r>
  <r>
    <n v="3328"/>
    <x v="97"/>
    <x v="2"/>
    <x v="96"/>
    <x v="1"/>
    <x v="2"/>
    <x v="1"/>
    <s v="No"/>
    <x v="1"/>
    <s v="Yes"/>
    <n v="20"/>
    <n v="10"/>
    <n v="20"/>
  </r>
  <r>
    <n v="3329"/>
    <x v="98"/>
    <x v="1"/>
    <x v="97"/>
    <x v="0"/>
    <x v="1"/>
    <x v="2"/>
    <s v="No"/>
    <x v="1"/>
    <s v="No"/>
    <n v="0"/>
    <n v="1"/>
    <n v="4"/>
  </r>
  <r>
    <n v="3330"/>
    <x v="99"/>
    <x v="0"/>
    <x v="98"/>
    <x v="1"/>
    <x v="0"/>
    <x v="0"/>
    <s v="Yes"/>
    <x v="0"/>
    <s v="Yes"/>
    <n v="20"/>
    <n v="15"/>
    <n v="50"/>
  </r>
  <r>
    <n v="3331"/>
    <x v="100"/>
    <x v="2"/>
    <x v="99"/>
    <x v="0"/>
    <x v="2"/>
    <x v="0"/>
    <s v="No"/>
    <x v="1"/>
    <s v="Yes"/>
    <n v="20"/>
    <n v="5"/>
    <n v="25"/>
  </r>
  <r>
    <n v="3332"/>
    <x v="101"/>
    <x v="1"/>
    <x v="100"/>
    <x v="1"/>
    <x v="1"/>
    <x v="1"/>
    <s v="No"/>
    <x v="1"/>
    <s v="No"/>
    <n v="0"/>
    <n v="0"/>
    <n v="5"/>
  </r>
  <r>
    <n v="3333"/>
    <x v="102"/>
    <x v="0"/>
    <x v="101"/>
    <x v="0"/>
    <x v="0"/>
    <x v="2"/>
    <s v="Yes"/>
    <x v="0"/>
    <s v="Yes"/>
    <n v="20"/>
    <n v="20"/>
    <n v="45"/>
  </r>
  <r>
    <n v="3334"/>
    <x v="103"/>
    <x v="2"/>
    <x v="102"/>
    <x v="1"/>
    <x v="2"/>
    <x v="2"/>
    <s v="No"/>
    <x v="1"/>
    <s v="Yes"/>
    <n v="20"/>
    <n v="12"/>
    <n v="18"/>
  </r>
  <r>
    <n v="3335"/>
    <x v="104"/>
    <x v="1"/>
    <x v="103"/>
    <x v="0"/>
    <x v="1"/>
    <x v="0"/>
    <s v="No"/>
    <x v="1"/>
    <s v="No"/>
    <n v="0"/>
    <n v="2"/>
    <n v="3"/>
  </r>
  <r>
    <n v="3336"/>
    <x v="105"/>
    <x v="1"/>
    <x v="104"/>
    <x v="0"/>
    <x v="1"/>
    <x v="0"/>
    <s v="No"/>
    <x v="1"/>
    <s v="No"/>
    <n v="0"/>
    <n v="0"/>
    <n v="5"/>
  </r>
  <r>
    <n v="3337"/>
    <x v="106"/>
    <x v="0"/>
    <x v="105"/>
    <x v="1"/>
    <x v="0"/>
    <x v="2"/>
    <s v="Yes"/>
    <x v="0"/>
    <s v="Yes"/>
    <n v="20"/>
    <n v="7"/>
    <n v="58"/>
  </r>
  <r>
    <n v="3338"/>
    <x v="107"/>
    <x v="2"/>
    <x v="106"/>
    <x v="0"/>
    <x v="2"/>
    <x v="1"/>
    <s v="No"/>
    <x v="1"/>
    <s v="Yes"/>
    <n v="20"/>
    <n v="10"/>
    <n v="20"/>
  </r>
  <r>
    <n v="3339"/>
    <x v="108"/>
    <x v="1"/>
    <x v="107"/>
    <x v="1"/>
    <x v="1"/>
    <x v="2"/>
    <s v="No"/>
    <x v="1"/>
    <s v="No"/>
    <n v="0"/>
    <n v="1"/>
    <n v="4"/>
  </r>
  <r>
    <n v="3340"/>
    <x v="109"/>
    <x v="0"/>
    <x v="108"/>
    <x v="0"/>
    <x v="0"/>
    <x v="0"/>
    <s v="Yes"/>
    <x v="0"/>
    <s v="Yes"/>
    <n v="20"/>
    <n v="15"/>
    <n v="50"/>
  </r>
  <r>
    <n v="3341"/>
    <x v="110"/>
    <x v="2"/>
    <x v="109"/>
    <x v="1"/>
    <x v="2"/>
    <x v="0"/>
    <s v="No"/>
    <x v="1"/>
    <s v="Yes"/>
    <n v="20"/>
    <n v="5"/>
    <n v="25"/>
  </r>
  <r>
    <n v="3342"/>
    <x v="111"/>
    <x v="1"/>
    <x v="110"/>
    <x v="0"/>
    <x v="1"/>
    <x v="1"/>
    <s v="No"/>
    <x v="1"/>
    <s v="No"/>
    <n v="0"/>
    <n v="0"/>
    <n v="5"/>
  </r>
  <r>
    <n v="3343"/>
    <x v="112"/>
    <x v="0"/>
    <x v="111"/>
    <x v="1"/>
    <x v="0"/>
    <x v="2"/>
    <s v="Yes"/>
    <x v="0"/>
    <s v="Yes"/>
    <n v="20"/>
    <n v="20"/>
    <n v="45"/>
  </r>
  <r>
    <n v="3344"/>
    <x v="113"/>
    <x v="2"/>
    <x v="112"/>
    <x v="0"/>
    <x v="2"/>
    <x v="2"/>
    <s v="No"/>
    <x v="1"/>
    <s v="Yes"/>
    <n v="20"/>
    <n v="12"/>
    <n v="18"/>
  </r>
  <r>
    <n v="3345"/>
    <x v="114"/>
    <x v="1"/>
    <x v="113"/>
    <x v="1"/>
    <x v="1"/>
    <x v="0"/>
    <s v="No"/>
    <x v="1"/>
    <s v="No"/>
    <n v="0"/>
    <n v="2"/>
    <n v="3"/>
  </r>
  <r>
    <n v="3346"/>
    <x v="115"/>
    <x v="0"/>
    <x v="114"/>
    <x v="0"/>
    <x v="0"/>
    <x v="1"/>
    <s v="Yes"/>
    <x v="0"/>
    <s v="Yes"/>
    <n v="20"/>
    <n v="5"/>
    <n v="60"/>
  </r>
  <r>
    <n v="3347"/>
    <x v="116"/>
    <x v="2"/>
    <x v="115"/>
    <x v="1"/>
    <x v="2"/>
    <x v="0"/>
    <s v="No"/>
    <x v="1"/>
    <s v="Yes"/>
    <n v="20"/>
    <n v="10"/>
    <n v="20"/>
  </r>
  <r>
    <n v="3348"/>
    <x v="117"/>
    <x v="1"/>
    <x v="116"/>
    <x v="0"/>
    <x v="1"/>
    <x v="2"/>
    <s v="No"/>
    <x v="1"/>
    <s v="No"/>
    <n v="0"/>
    <n v="0"/>
    <n v="5"/>
  </r>
  <r>
    <n v="3349"/>
    <x v="93"/>
    <x v="0"/>
    <x v="117"/>
    <x v="1"/>
    <x v="0"/>
    <x v="0"/>
    <s v="Yes"/>
    <x v="0"/>
    <s v="Yes"/>
    <n v="20"/>
    <n v="3"/>
    <n v="62"/>
  </r>
  <r>
    <n v="3350"/>
    <x v="118"/>
    <x v="2"/>
    <x v="118"/>
    <x v="0"/>
    <x v="2"/>
    <x v="1"/>
    <s v="No"/>
    <x v="1"/>
    <s v="Yes"/>
    <n v="20"/>
    <n v="15"/>
    <n v="15"/>
  </r>
  <r>
    <n v="3351"/>
    <x v="119"/>
    <x v="1"/>
    <x v="119"/>
    <x v="1"/>
    <x v="1"/>
    <x v="0"/>
    <s v="No"/>
    <x v="1"/>
    <s v="No"/>
    <n v="0"/>
    <n v="1"/>
    <n v="4"/>
  </r>
  <r>
    <n v="3352"/>
    <x v="120"/>
    <x v="0"/>
    <x v="120"/>
    <x v="0"/>
    <x v="0"/>
    <x v="2"/>
    <s v="Yes"/>
    <x v="0"/>
    <s v="Yes"/>
    <n v="20"/>
    <n v="7"/>
    <n v="58"/>
  </r>
  <r>
    <n v="3353"/>
    <x v="121"/>
    <x v="2"/>
    <x v="121"/>
    <x v="1"/>
    <x v="2"/>
    <x v="0"/>
    <s v="No"/>
    <x v="1"/>
    <s v="Yes"/>
    <n v="20"/>
    <n v="10"/>
    <n v="20"/>
  </r>
  <r>
    <n v="3354"/>
    <x v="122"/>
    <x v="1"/>
    <x v="122"/>
    <x v="0"/>
    <x v="1"/>
    <x v="1"/>
    <s v="No"/>
    <x v="1"/>
    <s v="No"/>
    <n v="0"/>
    <n v="0"/>
    <n v="5"/>
  </r>
  <r>
    <n v="3355"/>
    <x v="123"/>
    <x v="0"/>
    <x v="123"/>
    <x v="1"/>
    <x v="0"/>
    <x v="0"/>
    <s v="Yes"/>
    <x v="0"/>
    <s v="Yes"/>
    <n v="20"/>
    <n v="20"/>
    <n v="45"/>
  </r>
  <r>
    <n v="3356"/>
    <x v="124"/>
    <x v="2"/>
    <x v="124"/>
    <x v="0"/>
    <x v="2"/>
    <x v="2"/>
    <s v="No"/>
    <x v="1"/>
    <s v="Yes"/>
    <n v="20"/>
    <n v="15"/>
    <n v="15"/>
  </r>
  <r>
    <n v="3357"/>
    <x v="125"/>
    <x v="1"/>
    <x v="125"/>
    <x v="1"/>
    <x v="1"/>
    <x v="0"/>
    <s v="No"/>
    <x v="1"/>
    <s v="No"/>
    <n v="0"/>
    <n v="1"/>
    <n v="4"/>
  </r>
  <r>
    <n v="3358"/>
    <x v="126"/>
    <x v="0"/>
    <x v="126"/>
    <x v="0"/>
    <x v="0"/>
    <x v="1"/>
    <s v="Yes"/>
    <x v="0"/>
    <s v="Yes"/>
    <n v="20"/>
    <n v="3"/>
    <n v="62"/>
  </r>
  <r>
    <n v="3359"/>
    <x v="127"/>
    <x v="2"/>
    <x v="127"/>
    <x v="1"/>
    <x v="2"/>
    <x v="0"/>
    <s v="No"/>
    <x v="1"/>
    <s v="Yes"/>
    <n v="20"/>
    <n v="10"/>
    <n v="20"/>
  </r>
  <r>
    <n v="3360"/>
    <x v="128"/>
    <x v="1"/>
    <x v="128"/>
    <x v="0"/>
    <x v="1"/>
    <x v="2"/>
    <s v="No"/>
    <x v="1"/>
    <s v="No"/>
    <n v="0"/>
    <n v="0"/>
    <n v="5"/>
  </r>
  <r>
    <n v="3361"/>
    <x v="129"/>
    <x v="0"/>
    <x v="129"/>
    <x v="1"/>
    <x v="0"/>
    <x v="0"/>
    <s v="Yes"/>
    <x v="0"/>
    <s v="Yes"/>
    <n v="20"/>
    <n v="15"/>
    <n v="50"/>
  </r>
  <r>
    <n v="3362"/>
    <x v="130"/>
    <x v="2"/>
    <x v="130"/>
    <x v="0"/>
    <x v="2"/>
    <x v="1"/>
    <s v="No"/>
    <x v="1"/>
    <s v="Yes"/>
    <n v="20"/>
    <n v="15"/>
    <n v="15"/>
  </r>
  <r>
    <n v="3363"/>
    <x v="131"/>
    <x v="1"/>
    <x v="131"/>
    <x v="1"/>
    <x v="1"/>
    <x v="0"/>
    <s v="No"/>
    <x v="1"/>
    <s v="No"/>
    <n v="0"/>
    <n v="1"/>
    <n v="4"/>
  </r>
  <r>
    <n v="3364"/>
    <x v="132"/>
    <x v="0"/>
    <x v="132"/>
    <x v="0"/>
    <x v="0"/>
    <x v="2"/>
    <s v="Yes"/>
    <x v="0"/>
    <s v="Yes"/>
    <n v="20"/>
    <n v="7"/>
    <n v="58"/>
  </r>
  <r>
    <n v="3365"/>
    <x v="133"/>
    <x v="2"/>
    <x v="133"/>
    <x v="1"/>
    <x v="2"/>
    <x v="0"/>
    <s v="No"/>
    <x v="1"/>
    <s v="Yes"/>
    <n v="20"/>
    <n v="10"/>
    <n v="20"/>
  </r>
  <r>
    <n v="3366"/>
    <x v="134"/>
    <x v="1"/>
    <x v="134"/>
    <x v="0"/>
    <x v="1"/>
    <x v="0"/>
    <s v="No"/>
    <x v="1"/>
    <s v="No"/>
    <n v="0"/>
    <n v="0"/>
    <n v="5"/>
  </r>
  <r>
    <n v="3367"/>
    <x v="135"/>
    <x v="0"/>
    <x v="135"/>
    <x v="1"/>
    <x v="0"/>
    <x v="2"/>
    <s v="Yes"/>
    <x v="0"/>
    <s v="Yes"/>
    <n v="20"/>
    <n v="7"/>
    <n v="58"/>
  </r>
  <r>
    <n v="3368"/>
    <x v="136"/>
    <x v="2"/>
    <x v="136"/>
    <x v="0"/>
    <x v="2"/>
    <x v="1"/>
    <s v="No"/>
    <x v="1"/>
    <s v="Yes"/>
    <n v="20"/>
    <n v="10"/>
    <n v="20"/>
  </r>
  <r>
    <n v="3369"/>
    <x v="137"/>
    <x v="1"/>
    <x v="137"/>
    <x v="1"/>
    <x v="1"/>
    <x v="2"/>
    <s v="No"/>
    <x v="1"/>
    <s v="No"/>
    <n v="0"/>
    <n v="1"/>
    <n v="4"/>
  </r>
  <r>
    <n v="3370"/>
    <x v="138"/>
    <x v="0"/>
    <x v="138"/>
    <x v="0"/>
    <x v="0"/>
    <x v="0"/>
    <s v="Yes"/>
    <x v="0"/>
    <s v="Yes"/>
    <n v="20"/>
    <n v="15"/>
    <n v="50"/>
  </r>
  <r>
    <n v="3371"/>
    <x v="139"/>
    <x v="2"/>
    <x v="139"/>
    <x v="1"/>
    <x v="2"/>
    <x v="0"/>
    <s v="No"/>
    <x v="1"/>
    <s v="Yes"/>
    <n v="20"/>
    <n v="5"/>
    <n v="25"/>
  </r>
  <r>
    <n v="3372"/>
    <x v="140"/>
    <x v="1"/>
    <x v="140"/>
    <x v="0"/>
    <x v="1"/>
    <x v="1"/>
    <s v="No"/>
    <x v="1"/>
    <s v="No"/>
    <n v="0"/>
    <n v="0"/>
    <n v="5"/>
  </r>
  <r>
    <n v="3373"/>
    <x v="141"/>
    <x v="0"/>
    <x v="141"/>
    <x v="1"/>
    <x v="0"/>
    <x v="2"/>
    <s v="Yes"/>
    <x v="0"/>
    <s v="Yes"/>
    <n v="20"/>
    <n v="20"/>
    <n v="45"/>
  </r>
  <r>
    <n v="3374"/>
    <x v="142"/>
    <x v="2"/>
    <x v="142"/>
    <x v="0"/>
    <x v="2"/>
    <x v="2"/>
    <s v="No"/>
    <x v="1"/>
    <s v="Yes"/>
    <n v="20"/>
    <n v="12"/>
    <n v="18"/>
  </r>
  <r>
    <n v="3375"/>
    <x v="143"/>
    <x v="1"/>
    <x v="143"/>
    <x v="1"/>
    <x v="1"/>
    <x v="0"/>
    <s v="No"/>
    <x v="1"/>
    <s v="No"/>
    <n v="0"/>
    <n v="2"/>
    <n v="3"/>
  </r>
  <r>
    <n v="3376"/>
    <x v="144"/>
    <x v="0"/>
    <x v="144"/>
    <x v="0"/>
    <x v="0"/>
    <x v="1"/>
    <s v="Yes"/>
    <x v="0"/>
    <s v="Yes"/>
    <n v="20"/>
    <n v="5"/>
    <n v="60"/>
  </r>
  <r>
    <n v="3377"/>
    <x v="145"/>
    <x v="2"/>
    <x v="145"/>
    <x v="1"/>
    <x v="2"/>
    <x v="0"/>
    <s v="No"/>
    <x v="1"/>
    <s v="Yes"/>
    <n v="20"/>
    <n v="10"/>
    <n v="20"/>
  </r>
  <r>
    <n v="3378"/>
    <x v="146"/>
    <x v="1"/>
    <x v="146"/>
    <x v="0"/>
    <x v="1"/>
    <x v="2"/>
    <s v="No"/>
    <x v="1"/>
    <s v="No"/>
    <n v="0"/>
    <n v="0"/>
    <n v="5"/>
  </r>
  <r>
    <n v="3379"/>
    <x v="147"/>
    <x v="0"/>
    <x v="147"/>
    <x v="1"/>
    <x v="0"/>
    <x v="0"/>
    <s v="Yes"/>
    <x v="0"/>
    <s v="Yes"/>
    <n v="20"/>
    <n v="3"/>
    <n v="62"/>
  </r>
  <r>
    <n v="3380"/>
    <x v="148"/>
    <x v="2"/>
    <x v="148"/>
    <x v="0"/>
    <x v="2"/>
    <x v="1"/>
    <s v="No"/>
    <x v="1"/>
    <s v="Yes"/>
    <n v="20"/>
    <n v="15"/>
    <n v="15"/>
  </r>
  <r>
    <n v="3381"/>
    <x v="149"/>
    <x v="1"/>
    <x v="149"/>
    <x v="1"/>
    <x v="1"/>
    <x v="0"/>
    <s v="No"/>
    <x v="1"/>
    <s v="No"/>
    <n v="0"/>
    <n v="1"/>
    <n v="4"/>
  </r>
  <r>
    <n v="3382"/>
    <x v="150"/>
    <x v="0"/>
    <x v="150"/>
    <x v="0"/>
    <x v="0"/>
    <x v="2"/>
    <s v="Yes"/>
    <x v="0"/>
    <s v="Yes"/>
    <n v="20"/>
    <n v="7"/>
    <n v="58"/>
  </r>
  <r>
    <n v="3383"/>
    <x v="151"/>
    <x v="2"/>
    <x v="151"/>
    <x v="1"/>
    <x v="2"/>
    <x v="0"/>
    <s v="No"/>
    <x v="1"/>
    <s v="Yes"/>
    <n v="20"/>
    <n v="10"/>
    <n v="20"/>
  </r>
  <r>
    <n v="3384"/>
    <x v="152"/>
    <x v="1"/>
    <x v="152"/>
    <x v="0"/>
    <x v="1"/>
    <x v="1"/>
    <s v="No"/>
    <x v="1"/>
    <s v="No"/>
    <n v="0"/>
    <n v="0"/>
    <n v="5"/>
  </r>
  <r>
    <n v="3385"/>
    <x v="153"/>
    <x v="0"/>
    <x v="153"/>
    <x v="1"/>
    <x v="0"/>
    <x v="0"/>
    <s v="Yes"/>
    <x v="0"/>
    <s v="Yes"/>
    <n v="20"/>
    <n v="20"/>
    <n v="45"/>
  </r>
  <r>
    <n v="3386"/>
    <x v="154"/>
    <x v="2"/>
    <x v="154"/>
    <x v="0"/>
    <x v="2"/>
    <x v="2"/>
    <s v="No"/>
    <x v="1"/>
    <s v="Yes"/>
    <n v="20"/>
    <n v="15"/>
    <n v="15"/>
  </r>
  <r>
    <n v="3387"/>
    <x v="155"/>
    <x v="1"/>
    <x v="155"/>
    <x v="1"/>
    <x v="1"/>
    <x v="0"/>
    <s v="No"/>
    <x v="1"/>
    <s v="No"/>
    <n v="0"/>
    <n v="1"/>
    <n v="4"/>
  </r>
  <r>
    <n v="3388"/>
    <x v="156"/>
    <x v="0"/>
    <x v="156"/>
    <x v="0"/>
    <x v="0"/>
    <x v="1"/>
    <s v="Yes"/>
    <x v="0"/>
    <s v="Yes"/>
    <n v="20"/>
    <n v="3"/>
    <n v="62"/>
  </r>
  <r>
    <n v="3389"/>
    <x v="157"/>
    <x v="2"/>
    <x v="157"/>
    <x v="1"/>
    <x v="2"/>
    <x v="0"/>
    <s v="No"/>
    <x v="1"/>
    <s v="Yes"/>
    <n v="20"/>
    <n v="10"/>
    <n v="20"/>
  </r>
  <r>
    <n v="3390"/>
    <x v="158"/>
    <x v="1"/>
    <x v="158"/>
    <x v="0"/>
    <x v="1"/>
    <x v="2"/>
    <s v="No"/>
    <x v="1"/>
    <s v="No"/>
    <n v="0"/>
    <n v="0"/>
    <n v="5"/>
  </r>
  <r>
    <n v="3391"/>
    <x v="58"/>
    <x v="0"/>
    <x v="159"/>
    <x v="1"/>
    <x v="0"/>
    <x v="0"/>
    <s v="Yes"/>
    <x v="0"/>
    <s v="Yes"/>
    <n v="20"/>
    <n v="15"/>
    <n v="50"/>
  </r>
  <r>
    <n v="3392"/>
    <x v="159"/>
    <x v="2"/>
    <x v="160"/>
    <x v="0"/>
    <x v="2"/>
    <x v="1"/>
    <s v="No"/>
    <x v="1"/>
    <s v="Yes"/>
    <n v="20"/>
    <n v="15"/>
    <n v="15"/>
  </r>
  <r>
    <n v="3393"/>
    <x v="160"/>
    <x v="1"/>
    <x v="161"/>
    <x v="1"/>
    <x v="1"/>
    <x v="0"/>
    <s v="No"/>
    <x v="1"/>
    <s v="No"/>
    <n v="0"/>
    <n v="1"/>
    <n v="4"/>
  </r>
  <r>
    <n v="3394"/>
    <x v="161"/>
    <x v="0"/>
    <x v="162"/>
    <x v="0"/>
    <x v="0"/>
    <x v="2"/>
    <s v="Yes"/>
    <x v="0"/>
    <s v="Yes"/>
    <n v="20"/>
    <n v="7"/>
    <n v="58"/>
  </r>
  <r>
    <n v="3395"/>
    <x v="162"/>
    <x v="2"/>
    <x v="163"/>
    <x v="1"/>
    <x v="2"/>
    <x v="0"/>
    <s v="No"/>
    <x v="1"/>
    <s v="Yes"/>
    <n v="20"/>
    <n v="10"/>
    <n v="20"/>
  </r>
  <r>
    <n v="3396"/>
    <x v="163"/>
    <x v="1"/>
    <x v="164"/>
    <x v="0"/>
    <x v="1"/>
    <x v="1"/>
    <s v="No"/>
    <x v="1"/>
    <s v="No"/>
    <n v="0"/>
    <n v="0"/>
    <n v="5"/>
  </r>
  <r>
    <n v="3397"/>
    <x v="90"/>
    <x v="0"/>
    <x v="165"/>
    <x v="1"/>
    <x v="0"/>
    <x v="0"/>
    <s v="Yes"/>
    <x v="0"/>
    <s v="Yes"/>
    <n v="20"/>
    <n v="20"/>
    <n v="45"/>
  </r>
  <r>
    <n v="3398"/>
    <x v="164"/>
    <x v="2"/>
    <x v="166"/>
    <x v="0"/>
    <x v="2"/>
    <x v="2"/>
    <s v="No"/>
    <x v="1"/>
    <s v="Yes"/>
    <n v="20"/>
    <n v="15"/>
    <n v="15"/>
  </r>
  <r>
    <n v="3399"/>
    <x v="165"/>
    <x v="1"/>
    <x v="167"/>
    <x v="1"/>
    <x v="1"/>
    <x v="0"/>
    <s v="No"/>
    <x v="1"/>
    <s v="No"/>
    <n v="0"/>
    <n v="1"/>
    <n v="4"/>
  </r>
  <r>
    <n v="3400"/>
    <x v="166"/>
    <x v="0"/>
    <x v="168"/>
    <x v="0"/>
    <x v="0"/>
    <x v="1"/>
    <s v="Yes"/>
    <x v="0"/>
    <s v="Yes"/>
    <n v="20"/>
    <n v="5"/>
    <n v="60"/>
  </r>
  <r>
    <n v="3401"/>
    <x v="167"/>
    <x v="2"/>
    <x v="169"/>
    <x v="1"/>
    <x v="2"/>
    <x v="0"/>
    <s v="No"/>
    <x v="1"/>
    <s v="Yes"/>
    <n v="20"/>
    <n v="10"/>
    <n v="20"/>
  </r>
  <r>
    <n v="3402"/>
    <x v="168"/>
    <x v="1"/>
    <x v="170"/>
    <x v="0"/>
    <x v="1"/>
    <x v="2"/>
    <s v="No"/>
    <x v="1"/>
    <s v="No"/>
    <n v="0"/>
    <n v="0"/>
    <n v="5"/>
  </r>
  <r>
    <n v="3403"/>
    <x v="169"/>
    <x v="0"/>
    <x v="171"/>
    <x v="1"/>
    <x v="0"/>
    <x v="0"/>
    <s v="Yes"/>
    <x v="0"/>
    <s v="Yes"/>
    <n v="20"/>
    <n v="3"/>
    <n v="62"/>
  </r>
  <r>
    <n v="3404"/>
    <x v="170"/>
    <x v="2"/>
    <x v="172"/>
    <x v="0"/>
    <x v="2"/>
    <x v="1"/>
    <s v="No"/>
    <x v="1"/>
    <s v="Yes"/>
    <n v="20"/>
    <n v="15"/>
    <n v="15"/>
  </r>
  <r>
    <n v="3405"/>
    <x v="171"/>
    <x v="1"/>
    <x v="173"/>
    <x v="1"/>
    <x v="1"/>
    <x v="0"/>
    <s v="No"/>
    <x v="1"/>
    <s v="No"/>
    <n v="0"/>
    <n v="1"/>
    <n v="4"/>
  </r>
  <r>
    <n v="3406"/>
    <x v="172"/>
    <x v="1"/>
    <x v="174"/>
    <x v="0"/>
    <x v="1"/>
    <x v="0"/>
    <s v="No"/>
    <x v="1"/>
    <s v="No"/>
    <n v="0"/>
    <n v="0"/>
    <n v="5"/>
  </r>
  <r>
    <n v="3407"/>
    <x v="173"/>
    <x v="0"/>
    <x v="175"/>
    <x v="1"/>
    <x v="0"/>
    <x v="2"/>
    <s v="Yes"/>
    <x v="0"/>
    <s v="Yes"/>
    <n v="20"/>
    <n v="7"/>
    <n v="58"/>
  </r>
  <r>
    <n v="3408"/>
    <x v="174"/>
    <x v="2"/>
    <x v="176"/>
    <x v="0"/>
    <x v="2"/>
    <x v="1"/>
    <s v="No"/>
    <x v="1"/>
    <s v="Yes"/>
    <n v="20"/>
    <n v="10"/>
    <n v="20"/>
  </r>
  <r>
    <n v="3409"/>
    <x v="175"/>
    <x v="1"/>
    <x v="177"/>
    <x v="1"/>
    <x v="1"/>
    <x v="2"/>
    <s v="No"/>
    <x v="1"/>
    <s v="No"/>
    <n v="0"/>
    <n v="1"/>
    <n v="4"/>
  </r>
  <r>
    <n v="3410"/>
    <x v="176"/>
    <x v="0"/>
    <x v="178"/>
    <x v="0"/>
    <x v="0"/>
    <x v="0"/>
    <s v="Yes"/>
    <x v="0"/>
    <s v="Yes"/>
    <n v="20"/>
    <n v="15"/>
    <n v="50"/>
  </r>
  <r>
    <n v="3411"/>
    <x v="177"/>
    <x v="2"/>
    <x v="179"/>
    <x v="1"/>
    <x v="2"/>
    <x v="0"/>
    <s v="No"/>
    <x v="1"/>
    <s v="Yes"/>
    <n v="20"/>
    <n v="5"/>
    <n v="25"/>
  </r>
  <r>
    <n v="3412"/>
    <x v="178"/>
    <x v="1"/>
    <x v="180"/>
    <x v="0"/>
    <x v="1"/>
    <x v="1"/>
    <s v="No"/>
    <x v="1"/>
    <s v="No"/>
    <n v="0"/>
    <n v="0"/>
    <n v="5"/>
  </r>
  <r>
    <n v="3413"/>
    <x v="179"/>
    <x v="0"/>
    <x v="181"/>
    <x v="1"/>
    <x v="0"/>
    <x v="2"/>
    <s v="Yes"/>
    <x v="0"/>
    <s v="Yes"/>
    <n v="20"/>
    <n v="20"/>
    <n v="45"/>
  </r>
  <r>
    <n v="3414"/>
    <x v="180"/>
    <x v="2"/>
    <x v="182"/>
    <x v="0"/>
    <x v="2"/>
    <x v="2"/>
    <s v="No"/>
    <x v="1"/>
    <s v="Yes"/>
    <n v="20"/>
    <n v="12"/>
    <n v="18"/>
  </r>
  <r>
    <n v="3415"/>
    <x v="181"/>
    <x v="1"/>
    <x v="183"/>
    <x v="1"/>
    <x v="1"/>
    <x v="0"/>
    <s v="No"/>
    <x v="1"/>
    <s v="No"/>
    <n v="0"/>
    <n v="2"/>
    <n v="3"/>
  </r>
  <r>
    <n v="3416"/>
    <x v="182"/>
    <x v="0"/>
    <x v="184"/>
    <x v="0"/>
    <x v="0"/>
    <x v="1"/>
    <s v="Yes"/>
    <x v="0"/>
    <s v="Yes"/>
    <n v="20"/>
    <n v="5"/>
    <n v="60"/>
  </r>
  <r>
    <n v="3417"/>
    <x v="183"/>
    <x v="2"/>
    <x v="185"/>
    <x v="1"/>
    <x v="2"/>
    <x v="0"/>
    <s v="No"/>
    <x v="1"/>
    <s v="Yes"/>
    <n v="20"/>
    <n v="10"/>
    <n v="20"/>
  </r>
  <r>
    <n v="3418"/>
    <x v="184"/>
    <x v="1"/>
    <x v="186"/>
    <x v="0"/>
    <x v="1"/>
    <x v="2"/>
    <s v="No"/>
    <x v="1"/>
    <s v="No"/>
    <n v="0"/>
    <n v="0"/>
    <n v="5"/>
  </r>
  <r>
    <n v="3419"/>
    <x v="185"/>
    <x v="0"/>
    <x v="187"/>
    <x v="1"/>
    <x v="0"/>
    <x v="0"/>
    <s v="Yes"/>
    <x v="0"/>
    <s v="Yes"/>
    <n v="20"/>
    <n v="3"/>
    <n v="62"/>
  </r>
  <r>
    <n v="3420"/>
    <x v="186"/>
    <x v="2"/>
    <x v="188"/>
    <x v="0"/>
    <x v="2"/>
    <x v="1"/>
    <s v="No"/>
    <x v="1"/>
    <s v="Yes"/>
    <n v="20"/>
    <n v="15"/>
    <n v="15"/>
  </r>
  <r>
    <n v="3421"/>
    <x v="15"/>
    <x v="1"/>
    <x v="189"/>
    <x v="1"/>
    <x v="1"/>
    <x v="0"/>
    <s v="No"/>
    <x v="1"/>
    <s v="No"/>
    <n v="0"/>
    <n v="1"/>
    <n v="4"/>
  </r>
  <r>
    <n v="3422"/>
    <x v="187"/>
    <x v="0"/>
    <x v="190"/>
    <x v="0"/>
    <x v="0"/>
    <x v="2"/>
    <s v="Yes"/>
    <x v="0"/>
    <s v="Yes"/>
    <n v="20"/>
    <n v="7"/>
    <n v="58"/>
  </r>
  <r>
    <n v="3423"/>
    <x v="188"/>
    <x v="2"/>
    <x v="191"/>
    <x v="1"/>
    <x v="2"/>
    <x v="0"/>
    <s v="No"/>
    <x v="1"/>
    <s v="Yes"/>
    <n v="20"/>
    <n v="10"/>
    <n v="20"/>
  </r>
  <r>
    <n v="3424"/>
    <x v="14"/>
    <x v="1"/>
    <x v="192"/>
    <x v="0"/>
    <x v="1"/>
    <x v="1"/>
    <s v="No"/>
    <x v="1"/>
    <s v="No"/>
    <n v="0"/>
    <n v="0"/>
    <n v="5"/>
  </r>
  <r>
    <n v="3425"/>
    <x v="189"/>
    <x v="0"/>
    <x v="193"/>
    <x v="1"/>
    <x v="0"/>
    <x v="0"/>
    <s v="Yes"/>
    <x v="0"/>
    <s v="Yes"/>
    <n v="20"/>
    <n v="20"/>
    <n v="45"/>
  </r>
  <r>
    <n v="3426"/>
    <x v="167"/>
    <x v="2"/>
    <x v="194"/>
    <x v="0"/>
    <x v="2"/>
    <x v="2"/>
    <s v="No"/>
    <x v="1"/>
    <s v="Yes"/>
    <n v="20"/>
    <n v="15"/>
    <n v="15"/>
  </r>
  <r>
    <n v="3427"/>
    <x v="190"/>
    <x v="1"/>
    <x v="195"/>
    <x v="1"/>
    <x v="1"/>
    <x v="0"/>
    <s v="No"/>
    <x v="1"/>
    <s v="No"/>
    <n v="0"/>
    <n v="1"/>
    <n v="4"/>
  </r>
  <r>
    <n v="3428"/>
    <x v="191"/>
    <x v="0"/>
    <x v="196"/>
    <x v="0"/>
    <x v="0"/>
    <x v="1"/>
    <s v="Yes"/>
    <x v="0"/>
    <s v="Yes"/>
    <n v="20"/>
    <n v="3"/>
    <n v="62"/>
  </r>
  <r>
    <n v="3429"/>
    <x v="192"/>
    <x v="2"/>
    <x v="197"/>
    <x v="1"/>
    <x v="2"/>
    <x v="0"/>
    <s v="No"/>
    <x v="1"/>
    <s v="Yes"/>
    <n v="20"/>
    <n v="10"/>
    <n v="20"/>
  </r>
  <r>
    <n v="3430"/>
    <x v="193"/>
    <x v="1"/>
    <x v="198"/>
    <x v="0"/>
    <x v="1"/>
    <x v="2"/>
    <s v="No"/>
    <x v="1"/>
    <s v="No"/>
    <n v="0"/>
    <n v="0"/>
    <n v="5"/>
  </r>
  <r>
    <n v="3431"/>
    <x v="194"/>
    <x v="0"/>
    <x v="199"/>
    <x v="1"/>
    <x v="0"/>
    <x v="0"/>
    <s v="Yes"/>
    <x v="0"/>
    <s v="Yes"/>
    <n v="20"/>
    <n v="15"/>
    <n v="50"/>
  </r>
  <r>
    <n v="3432"/>
    <x v="195"/>
    <x v="2"/>
    <x v="200"/>
    <x v="0"/>
    <x v="2"/>
    <x v="1"/>
    <s v="No"/>
    <x v="1"/>
    <s v="Yes"/>
    <n v="20"/>
    <n v="15"/>
    <n v="15"/>
  </r>
  <r>
    <n v="3433"/>
    <x v="196"/>
    <x v="1"/>
    <x v="201"/>
    <x v="1"/>
    <x v="1"/>
    <x v="0"/>
    <s v="No"/>
    <x v="1"/>
    <s v="No"/>
    <n v="0"/>
    <n v="1"/>
    <n v="4"/>
  </r>
  <r>
    <n v="3434"/>
    <x v="197"/>
    <x v="0"/>
    <x v="202"/>
    <x v="0"/>
    <x v="0"/>
    <x v="2"/>
    <s v="Yes"/>
    <x v="0"/>
    <s v="Yes"/>
    <n v="20"/>
    <n v="7"/>
    <n v="58"/>
  </r>
  <r>
    <n v="3435"/>
    <x v="198"/>
    <x v="2"/>
    <x v="203"/>
    <x v="1"/>
    <x v="2"/>
    <x v="0"/>
    <s v="No"/>
    <x v="1"/>
    <s v="Yes"/>
    <n v="20"/>
    <n v="10"/>
    <n v="20"/>
  </r>
  <r>
    <n v="3436"/>
    <x v="199"/>
    <x v="1"/>
    <x v="204"/>
    <x v="0"/>
    <x v="1"/>
    <x v="0"/>
    <s v="No"/>
    <x v="1"/>
    <s v="No"/>
    <n v="0"/>
    <n v="0"/>
    <n v="5"/>
  </r>
  <r>
    <n v="3437"/>
    <x v="200"/>
    <x v="0"/>
    <x v="205"/>
    <x v="1"/>
    <x v="0"/>
    <x v="2"/>
    <s v="Yes"/>
    <x v="0"/>
    <s v="Yes"/>
    <n v="20"/>
    <n v="7"/>
    <n v="58"/>
  </r>
  <r>
    <n v="3438"/>
    <x v="201"/>
    <x v="2"/>
    <x v="206"/>
    <x v="0"/>
    <x v="2"/>
    <x v="1"/>
    <s v="No"/>
    <x v="1"/>
    <s v="Yes"/>
    <n v="20"/>
    <n v="10"/>
    <n v="20"/>
  </r>
  <r>
    <n v="3439"/>
    <x v="202"/>
    <x v="1"/>
    <x v="207"/>
    <x v="1"/>
    <x v="1"/>
    <x v="2"/>
    <s v="No"/>
    <x v="1"/>
    <s v="No"/>
    <n v="0"/>
    <n v="1"/>
    <n v="4"/>
  </r>
  <r>
    <n v="3440"/>
    <x v="203"/>
    <x v="0"/>
    <x v="208"/>
    <x v="0"/>
    <x v="0"/>
    <x v="0"/>
    <s v="Yes"/>
    <x v="0"/>
    <s v="Yes"/>
    <n v="20"/>
    <n v="15"/>
    <n v="50"/>
  </r>
  <r>
    <n v="3441"/>
    <x v="204"/>
    <x v="2"/>
    <x v="209"/>
    <x v="1"/>
    <x v="2"/>
    <x v="0"/>
    <s v="No"/>
    <x v="1"/>
    <s v="Yes"/>
    <n v="20"/>
    <n v="5"/>
    <n v="25"/>
  </r>
  <r>
    <n v="3442"/>
    <x v="205"/>
    <x v="1"/>
    <x v="210"/>
    <x v="0"/>
    <x v="1"/>
    <x v="1"/>
    <s v="No"/>
    <x v="1"/>
    <s v="No"/>
    <n v="0"/>
    <n v="0"/>
    <n v="5"/>
  </r>
  <r>
    <n v="3443"/>
    <x v="206"/>
    <x v="0"/>
    <x v="211"/>
    <x v="1"/>
    <x v="0"/>
    <x v="2"/>
    <s v="Yes"/>
    <x v="0"/>
    <s v="Yes"/>
    <n v="20"/>
    <n v="20"/>
    <n v="45"/>
  </r>
  <r>
    <n v="3444"/>
    <x v="207"/>
    <x v="2"/>
    <x v="212"/>
    <x v="0"/>
    <x v="2"/>
    <x v="2"/>
    <s v="No"/>
    <x v="1"/>
    <s v="Yes"/>
    <n v="20"/>
    <n v="12"/>
    <n v="18"/>
  </r>
  <r>
    <n v="3445"/>
    <x v="37"/>
    <x v="1"/>
    <x v="213"/>
    <x v="1"/>
    <x v="1"/>
    <x v="0"/>
    <s v="No"/>
    <x v="1"/>
    <s v="No"/>
    <n v="0"/>
    <n v="2"/>
    <n v="3"/>
  </r>
  <r>
    <n v="3446"/>
    <x v="208"/>
    <x v="0"/>
    <x v="214"/>
    <x v="0"/>
    <x v="0"/>
    <x v="1"/>
    <s v="Yes"/>
    <x v="0"/>
    <s v="Yes"/>
    <n v="20"/>
    <n v="5"/>
    <n v="60"/>
  </r>
  <r>
    <n v="3447"/>
    <x v="209"/>
    <x v="2"/>
    <x v="215"/>
    <x v="1"/>
    <x v="2"/>
    <x v="0"/>
    <s v="No"/>
    <x v="1"/>
    <s v="Yes"/>
    <n v="20"/>
    <n v="10"/>
    <n v="20"/>
  </r>
  <r>
    <n v="3448"/>
    <x v="210"/>
    <x v="1"/>
    <x v="216"/>
    <x v="0"/>
    <x v="1"/>
    <x v="2"/>
    <s v="No"/>
    <x v="1"/>
    <s v="No"/>
    <n v="0"/>
    <n v="0"/>
    <n v="5"/>
  </r>
  <r>
    <n v="3449"/>
    <x v="211"/>
    <x v="0"/>
    <x v="217"/>
    <x v="1"/>
    <x v="0"/>
    <x v="0"/>
    <s v="Yes"/>
    <x v="0"/>
    <s v="Yes"/>
    <n v="20"/>
    <n v="3"/>
    <n v="62"/>
  </r>
  <r>
    <n v="3450"/>
    <x v="212"/>
    <x v="2"/>
    <x v="218"/>
    <x v="0"/>
    <x v="2"/>
    <x v="1"/>
    <s v="No"/>
    <x v="1"/>
    <s v="Yes"/>
    <n v="20"/>
    <n v="15"/>
    <n v="15"/>
  </r>
  <r>
    <n v="3451"/>
    <x v="213"/>
    <x v="1"/>
    <x v="219"/>
    <x v="1"/>
    <x v="1"/>
    <x v="0"/>
    <s v="No"/>
    <x v="1"/>
    <s v="No"/>
    <n v="0"/>
    <n v="1"/>
    <n v="4"/>
  </r>
  <r>
    <n v="3452"/>
    <x v="191"/>
    <x v="0"/>
    <x v="220"/>
    <x v="0"/>
    <x v="0"/>
    <x v="2"/>
    <s v="Yes"/>
    <x v="0"/>
    <s v="Yes"/>
    <n v="20"/>
    <n v="7"/>
    <n v="58"/>
  </r>
  <r>
    <n v="3453"/>
    <x v="45"/>
    <x v="2"/>
    <x v="221"/>
    <x v="1"/>
    <x v="2"/>
    <x v="0"/>
    <s v="No"/>
    <x v="1"/>
    <s v="Yes"/>
    <n v="20"/>
    <n v="10"/>
    <n v="20"/>
  </r>
  <r>
    <n v="3454"/>
    <x v="214"/>
    <x v="1"/>
    <x v="222"/>
    <x v="0"/>
    <x v="1"/>
    <x v="1"/>
    <s v="No"/>
    <x v="1"/>
    <s v="No"/>
    <n v="0"/>
    <n v="0"/>
    <n v="5"/>
  </r>
  <r>
    <n v="3455"/>
    <x v="215"/>
    <x v="0"/>
    <x v="223"/>
    <x v="1"/>
    <x v="0"/>
    <x v="0"/>
    <s v="Yes"/>
    <x v="0"/>
    <s v="Yes"/>
    <n v="20"/>
    <n v="20"/>
    <n v="45"/>
  </r>
  <r>
    <n v="3456"/>
    <x v="216"/>
    <x v="2"/>
    <x v="224"/>
    <x v="0"/>
    <x v="2"/>
    <x v="2"/>
    <s v="No"/>
    <x v="1"/>
    <s v="Yes"/>
    <n v="20"/>
    <n v="15"/>
    <n v="15"/>
  </r>
  <r>
    <n v="3457"/>
    <x v="217"/>
    <x v="1"/>
    <x v="225"/>
    <x v="1"/>
    <x v="1"/>
    <x v="0"/>
    <s v="No"/>
    <x v="1"/>
    <s v="No"/>
    <n v="0"/>
    <n v="1"/>
    <n v="4"/>
  </r>
  <r>
    <n v="3458"/>
    <x v="218"/>
    <x v="0"/>
    <x v="226"/>
    <x v="0"/>
    <x v="0"/>
    <x v="1"/>
    <s v="Yes"/>
    <x v="0"/>
    <s v="Yes"/>
    <n v="20"/>
    <n v="3"/>
    <n v="62"/>
  </r>
  <r>
    <n v="3459"/>
    <x v="219"/>
    <x v="2"/>
    <x v="227"/>
    <x v="1"/>
    <x v="2"/>
    <x v="0"/>
    <s v="No"/>
    <x v="1"/>
    <s v="Yes"/>
    <n v="20"/>
    <n v="10"/>
    <n v="20"/>
  </r>
  <r>
    <n v="3460"/>
    <x v="127"/>
    <x v="1"/>
    <x v="228"/>
    <x v="0"/>
    <x v="1"/>
    <x v="2"/>
    <s v="No"/>
    <x v="1"/>
    <s v="No"/>
    <n v="0"/>
    <n v="0"/>
    <n v="5"/>
  </r>
  <r>
    <n v="3461"/>
    <x v="220"/>
    <x v="0"/>
    <x v="229"/>
    <x v="1"/>
    <x v="0"/>
    <x v="0"/>
    <s v="Yes"/>
    <x v="0"/>
    <s v="Yes"/>
    <n v="20"/>
    <n v="15"/>
    <n v="50"/>
  </r>
  <r>
    <n v="3462"/>
    <x v="221"/>
    <x v="2"/>
    <x v="230"/>
    <x v="0"/>
    <x v="2"/>
    <x v="1"/>
    <s v="No"/>
    <x v="1"/>
    <s v="Yes"/>
    <n v="20"/>
    <n v="15"/>
    <n v="15"/>
  </r>
  <r>
    <n v="3463"/>
    <x v="222"/>
    <x v="1"/>
    <x v="231"/>
    <x v="1"/>
    <x v="1"/>
    <x v="0"/>
    <s v="No"/>
    <x v="1"/>
    <s v="No"/>
    <n v="0"/>
    <n v="1"/>
    <n v="4"/>
  </r>
  <r>
    <n v="3464"/>
    <x v="223"/>
    <x v="0"/>
    <x v="232"/>
    <x v="0"/>
    <x v="0"/>
    <x v="2"/>
    <s v="Yes"/>
    <x v="0"/>
    <s v="Yes"/>
    <n v="20"/>
    <n v="7"/>
    <n v="58"/>
  </r>
  <r>
    <n v="3465"/>
    <x v="224"/>
    <x v="2"/>
    <x v="233"/>
    <x v="1"/>
    <x v="2"/>
    <x v="0"/>
    <s v="No"/>
    <x v="1"/>
    <s v="Yes"/>
    <n v="20"/>
    <n v="10"/>
    <n v="20"/>
  </r>
  <r>
    <n v="3466"/>
    <x v="225"/>
    <x v="1"/>
    <x v="234"/>
    <x v="0"/>
    <x v="1"/>
    <x v="1"/>
    <s v="No"/>
    <x v="1"/>
    <s v="No"/>
    <n v="0"/>
    <n v="0"/>
    <n v="5"/>
  </r>
  <r>
    <n v="3467"/>
    <x v="226"/>
    <x v="0"/>
    <x v="235"/>
    <x v="1"/>
    <x v="0"/>
    <x v="0"/>
    <s v="Yes"/>
    <x v="0"/>
    <s v="Yes"/>
    <n v="20"/>
    <n v="15"/>
    <n v="50"/>
  </r>
  <r>
    <n v="3468"/>
    <x v="227"/>
    <x v="2"/>
    <x v="236"/>
    <x v="0"/>
    <x v="2"/>
    <x v="2"/>
    <s v="No"/>
    <x v="1"/>
    <s v="Yes"/>
    <n v="20"/>
    <n v="12"/>
    <n v="18"/>
  </r>
  <r>
    <n v="3469"/>
    <x v="228"/>
    <x v="1"/>
    <x v="237"/>
    <x v="1"/>
    <x v="1"/>
    <x v="0"/>
    <s v="No"/>
    <x v="1"/>
    <s v="No"/>
    <n v="0"/>
    <n v="2"/>
    <n v="3"/>
  </r>
  <r>
    <n v="3470"/>
    <x v="229"/>
    <x v="0"/>
    <x v="238"/>
    <x v="0"/>
    <x v="0"/>
    <x v="1"/>
    <s v="Yes"/>
    <x v="0"/>
    <s v="Yes"/>
    <n v="20"/>
    <n v="5"/>
    <n v="60"/>
  </r>
  <r>
    <n v="3471"/>
    <x v="230"/>
    <x v="2"/>
    <x v="239"/>
    <x v="1"/>
    <x v="2"/>
    <x v="0"/>
    <s v="No"/>
    <x v="1"/>
    <s v="Yes"/>
    <n v="20"/>
    <n v="10"/>
    <n v="20"/>
  </r>
  <r>
    <n v="3472"/>
    <x v="231"/>
    <x v="1"/>
    <x v="240"/>
    <x v="0"/>
    <x v="1"/>
    <x v="2"/>
    <s v="No"/>
    <x v="1"/>
    <s v="No"/>
    <n v="0"/>
    <n v="0"/>
    <n v="5"/>
  </r>
  <r>
    <n v="3473"/>
    <x v="140"/>
    <x v="0"/>
    <x v="241"/>
    <x v="1"/>
    <x v="0"/>
    <x v="0"/>
    <s v="Yes"/>
    <x v="0"/>
    <s v="Yes"/>
    <n v="20"/>
    <n v="3"/>
    <n v="62"/>
  </r>
  <r>
    <n v="3474"/>
    <x v="232"/>
    <x v="2"/>
    <x v="242"/>
    <x v="0"/>
    <x v="2"/>
    <x v="1"/>
    <s v="No"/>
    <x v="1"/>
    <s v="Yes"/>
    <n v="20"/>
    <n v="15"/>
    <n v="15"/>
  </r>
  <r>
    <n v="3475"/>
    <x v="233"/>
    <x v="1"/>
    <x v="243"/>
    <x v="1"/>
    <x v="1"/>
    <x v="0"/>
    <s v="No"/>
    <x v="1"/>
    <s v="No"/>
    <n v="0"/>
    <n v="1"/>
    <n v="4"/>
  </r>
  <r>
    <n v="3476"/>
    <x v="234"/>
    <x v="0"/>
    <x v="244"/>
    <x v="0"/>
    <x v="0"/>
    <x v="2"/>
    <s v="Yes"/>
    <x v="0"/>
    <s v="Yes"/>
    <n v="20"/>
    <n v="7"/>
    <n v="58"/>
  </r>
  <r>
    <n v="3477"/>
    <x v="235"/>
    <x v="2"/>
    <x v="245"/>
    <x v="1"/>
    <x v="2"/>
    <x v="0"/>
    <s v="No"/>
    <x v="1"/>
    <s v="Yes"/>
    <n v="20"/>
    <n v="10"/>
    <n v="20"/>
  </r>
  <r>
    <n v="3478"/>
    <x v="236"/>
    <x v="1"/>
    <x v="246"/>
    <x v="0"/>
    <x v="1"/>
    <x v="1"/>
    <s v="No"/>
    <x v="1"/>
    <s v="No"/>
    <n v="0"/>
    <n v="0"/>
    <n v="5"/>
  </r>
  <r>
    <n v="3479"/>
    <x v="237"/>
    <x v="0"/>
    <x v="247"/>
    <x v="1"/>
    <x v="0"/>
    <x v="0"/>
    <s v="Yes"/>
    <x v="0"/>
    <s v="Yes"/>
    <n v="20"/>
    <n v="20"/>
    <n v="45"/>
  </r>
  <r>
    <n v="3480"/>
    <x v="238"/>
    <x v="2"/>
    <x v="248"/>
    <x v="0"/>
    <x v="2"/>
    <x v="2"/>
    <s v="No"/>
    <x v="1"/>
    <s v="Yes"/>
    <n v="20"/>
    <n v="15"/>
    <n v="15"/>
  </r>
  <r>
    <n v="3481"/>
    <x v="239"/>
    <x v="1"/>
    <x v="249"/>
    <x v="1"/>
    <x v="1"/>
    <x v="0"/>
    <s v="No"/>
    <x v="1"/>
    <s v="No"/>
    <n v="0"/>
    <n v="1"/>
    <n v="4"/>
  </r>
  <r>
    <n v="3482"/>
    <x v="240"/>
    <x v="0"/>
    <x v="250"/>
    <x v="0"/>
    <x v="0"/>
    <x v="1"/>
    <s v="Yes"/>
    <x v="0"/>
    <s v="Yes"/>
    <n v="20"/>
    <n v="3"/>
    <n v="62"/>
  </r>
  <r>
    <n v="3483"/>
    <x v="241"/>
    <x v="2"/>
    <x v="251"/>
    <x v="1"/>
    <x v="2"/>
    <x v="0"/>
    <s v="No"/>
    <x v="1"/>
    <s v="Yes"/>
    <n v="20"/>
    <n v="10"/>
    <n v="20"/>
  </r>
  <r>
    <n v="3484"/>
    <x v="242"/>
    <x v="1"/>
    <x v="252"/>
    <x v="0"/>
    <x v="1"/>
    <x v="2"/>
    <s v="No"/>
    <x v="1"/>
    <s v="No"/>
    <n v="0"/>
    <n v="0"/>
    <n v="5"/>
  </r>
  <r>
    <n v="3485"/>
    <x v="243"/>
    <x v="0"/>
    <x v="253"/>
    <x v="1"/>
    <x v="0"/>
    <x v="0"/>
    <s v="Yes"/>
    <x v="0"/>
    <s v="Yes"/>
    <n v="20"/>
    <n v="15"/>
    <n v="50"/>
  </r>
  <r>
    <n v="3486"/>
    <x v="244"/>
    <x v="1"/>
    <x v="254"/>
    <x v="0"/>
    <x v="1"/>
    <x v="0"/>
    <s v="No"/>
    <x v="1"/>
    <s v="No"/>
    <n v="0"/>
    <n v="0"/>
    <n v="5"/>
  </r>
  <r>
    <n v="3487"/>
    <x v="245"/>
    <x v="0"/>
    <x v="255"/>
    <x v="1"/>
    <x v="0"/>
    <x v="2"/>
    <s v="Yes"/>
    <x v="0"/>
    <s v="Yes"/>
    <n v="20"/>
    <n v="7"/>
    <n v="58"/>
  </r>
  <r>
    <n v="3488"/>
    <x v="246"/>
    <x v="2"/>
    <x v="256"/>
    <x v="0"/>
    <x v="2"/>
    <x v="1"/>
    <s v="No"/>
    <x v="1"/>
    <s v="Yes"/>
    <n v="20"/>
    <n v="10"/>
    <n v="20"/>
  </r>
  <r>
    <n v="3489"/>
    <x v="247"/>
    <x v="1"/>
    <x v="257"/>
    <x v="1"/>
    <x v="1"/>
    <x v="2"/>
    <s v="No"/>
    <x v="1"/>
    <s v="No"/>
    <n v="0"/>
    <n v="1"/>
    <n v="4"/>
  </r>
  <r>
    <n v="3490"/>
    <x v="248"/>
    <x v="0"/>
    <x v="258"/>
    <x v="0"/>
    <x v="0"/>
    <x v="0"/>
    <s v="Yes"/>
    <x v="0"/>
    <s v="Yes"/>
    <n v="20"/>
    <n v="15"/>
    <n v="50"/>
  </r>
  <r>
    <n v="3491"/>
    <x v="249"/>
    <x v="2"/>
    <x v="259"/>
    <x v="1"/>
    <x v="2"/>
    <x v="0"/>
    <s v="No"/>
    <x v="1"/>
    <s v="Yes"/>
    <n v="20"/>
    <n v="5"/>
    <n v="25"/>
  </r>
  <r>
    <n v="3492"/>
    <x v="250"/>
    <x v="1"/>
    <x v="260"/>
    <x v="0"/>
    <x v="1"/>
    <x v="1"/>
    <s v="No"/>
    <x v="1"/>
    <s v="No"/>
    <n v="0"/>
    <n v="0"/>
    <n v="5"/>
  </r>
  <r>
    <n v="3493"/>
    <x v="251"/>
    <x v="0"/>
    <x v="261"/>
    <x v="1"/>
    <x v="0"/>
    <x v="2"/>
    <s v="Yes"/>
    <x v="0"/>
    <s v="Yes"/>
    <n v="20"/>
    <n v="20"/>
    <n v="45"/>
  </r>
  <r>
    <n v="3494"/>
    <x v="252"/>
    <x v="2"/>
    <x v="262"/>
    <x v="0"/>
    <x v="2"/>
    <x v="2"/>
    <s v="No"/>
    <x v="1"/>
    <s v="Yes"/>
    <n v="20"/>
    <n v="12"/>
    <n v="18"/>
  </r>
  <r>
    <n v="3495"/>
    <x v="253"/>
    <x v="1"/>
    <x v="263"/>
    <x v="1"/>
    <x v="1"/>
    <x v="0"/>
    <s v="No"/>
    <x v="1"/>
    <s v="No"/>
    <n v="0"/>
    <n v="2"/>
    <n v="3"/>
  </r>
  <r>
    <n v="3496"/>
    <x v="254"/>
    <x v="0"/>
    <x v="264"/>
    <x v="0"/>
    <x v="0"/>
    <x v="1"/>
    <s v="Yes"/>
    <x v="0"/>
    <s v="Yes"/>
    <n v="20"/>
    <n v="5"/>
    <n v="60"/>
  </r>
  <r>
    <n v="3497"/>
    <x v="255"/>
    <x v="2"/>
    <x v="265"/>
    <x v="1"/>
    <x v="2"/>
    <x v="0"/>
    <s v="No"/>
    <x v="1"/>
    <s v="Yes"/>
    <n v="20"/>
    <n v="10"/>
    <n v="20"/>
  </r>
  <r>
    <n v="3498"/>
    <x v="256"/>
    <x v="1"/>
    <x v="266"/>
    <x v="0"/>
    <x v="1"/>
    <x v="2"/>
    <s v="No"/>
    <x v="1"/>
    <s v="No"/>
    <n v="0"/>
    <n v="0"/>
    <n v="5"/>
  </r>
  <r>
    <n v="3499"/>
    <x v="257"/>
    <x v="0"/>
    <x v="267"/>
    <x v="1"/>
    <x v="0"/>
    <x v="0"/>
    <s v="Yes"/>
    <x v="0"/>
    <s v="Yes"/>
    <n v="20"/>
    <n v="3"/>
    <n v="62"/>
  </r>
  <r>
    <n v="3500"/>
    <x v="258"/>
    <x v="2"/>
    <x v="268"/>
    <x v="0"/>
    <x v="2"/>
    <x v="1"/>
    <s v="No"/>
    <x v="1"/>
    <s v="Yes"/>
    <n v="20"/>
    <n v="15"/>
    <n v="15"/>
  </r>
  <r>
    <n v="3501"/>
    <x v="259"/>
    <x v="1"/>
    <x v="269"/>
    <x v="1"/>
    <x v="1"/>
    <x v="0"/>
    <s v="No"/>
    <x v="1"/>
    <s v="No"/>
    <n v="0"/>
    <n v="1"/>
    <n v="4"/>
  </r>
  <r>
    <n v="3502"/>
    <x v="260"/>
    <x v="0"/>
    <x v="270"/>
    <x v="0"/>
    <x v="0"/>
    <x v="2"/>
    <s v="Yes"/>
    <x v="0"/>
    <s v="Yes"/>
    <n v="20"/>
    <n v="7"/>
    <n v="58"/>
  </r>
  <r>
    <n v="3503"/>
    <x v="119"/>
    <x v="2"/>
    <x v="271"/>
    <x v="1"/>
    <x v="2"/>
    <x v="0"/>
    <s v="No"/>
    <x v="1"/>
    <s v="Yes"/>
    <n v="20"/>
    <n v="10"/>
    <n v="20"/>
  </r>
  <r>
    <n v="3504"/>
    <x v="261"/>
    <x v="1"/>
    <x v="272"/>
    <x v="0"/>
    <x v="1"/>
    <x v="1"/>
    <s v="No"/>
    <x v="1"/>
    <s v="No"/>
    <n v="0"/>
    <n v="0"/>
    <n v="5"/>
  </r>
  <r>
    <n v="3505"/>
    <x v="262"/>
    <x v="0"/>
    <x v="273"/>
    <x v="1"/>
    <x v="0"/>
    <x v="0"/>
    <s v="Yes"/>
    <x v="0"/>
    <s v="Yes"/>
    <n v="20"/>
    <n v="20"/>
    <n v="45"/>
  </r>
  <r>
    <n v="3506"/>
    <x v="263"/>
    <x v="2"/>
    <x v="274"/>
    <x v="0"/>
    <x v="2"/>
    <x v="2"/>
    <s v="No"/>
    <x v="1"/>
    <s v="Yes"/>
    <n v="20"/>
    <n v="15"/>
    <n v="15"/>
  </r>
  <r>
    <n v="3507"/>
    <x v="264"/>
    <x v="1"/>
    <x v="275"/>
    <x v="1"/>
    <x v="1"/>
    <x v="0"/>
    <s v="No"/>
    <x v="1"/>
    <s v="No"/>
    <n v="0"/>
    <n v="1"/>
    <n v="4"/>
  </r>
  <r>
    <n v="3508"/>
    <x v="265"/>
    <x v="0"/>
    <x v="276"/>
    <x v="0"/>
    <x v="0"/>
    <x v="1"/>
    <s v="Yes"/>
    <x v="0"/>
    <s v="Yes"/>
    <n v="20"/>
    <n v="3"/>
    <n v="62"/>
  </r>
  <r>
    <n v="3509"/>
    <x v="266"/>
    <x v="2"/>
    <x v="277"/>
    <x v="1"/>
    <x v="2"/>
    <x v="0"/>
    <s v="No"/>
    <x v="1"/>
    <s v="Yes"/>
    <n v="20"/>
    <n v="10"/>
    <n v="20"/>
  </r>
  <r>
    <n v="3510"/>
    <x v="267"/>
    <x v="1"/>
    <x v="278"/>
    <x v="0"/>
    <x v="1"/>
    <x v="2"/>
    <s v="No"/>
    <x v="1"/>
    <s v="No"/>
    <n v="0"/>
    <n v="0"/>
    <n v="5"/>
  </r>
  <r>
    <n v="3511"/>
    <x v="268"/>
    <x v="0"/>
    <x v="279"/>
    <x v="1"/>
    <x v="0"/>
    <x v="0"/>
    <s v="Yes"/>
    <x v="0"/>
    <s v="Yes"/>
    <n v="20"/>
    <n v="15"/>
    <n v="50"/>
  </r>
  <r>
    <n v="3512"/>
    <x v="269"/>
    <x v="2"/>
    <x v="280"/>
    <x v="0"/>
    <x v="2"/>
    <x v="1"/>
    <s v="No"/>
    <x v="1"/>
    <s v="Yes"/>
    <n v="20"/>
    <n v="15"/>
    <n v="15"/>
  </r>
  <r>
    <n v="3513"/>
    <x v="270"/>
    <x v="1"/>
    <x v="281"/>
    <x v="1"/>
    <x v="1"/>
    <x v="0"/>
    <s v="No"/>
    <x v="1"/>
    <s v="No"/>
    <n v="0"/>
    <n v="1"/>
    <n v="4"/>
  </r>
  <r>
    <n v="3514"/>
    <x v="271"/>
    <x v="0"/>
    <x v="282"/>
    <x v="0"/>
    <x v="0"/>
    <x v="2"/>
    <s v="Yes"/>
    <x v="0"/>
    <s v="Yes"/>
    <n v="20"/>
    <n v="7"/>
    <n v="58"/>
  </r>
  <r>
    <n v="3515"/>
    <x v="130"/>
    <x v="2"/>
    <x v="283"/>
    <x v="1"/>
    <x v="2"/>
    <x v="0"/>
    <s v="No"/>
    <x v="1"/>
    <s v="Yes"/>
    <n v="20"/>
    <n v="10"/>
    <n v="20"/>
  </r>
  <r>
    <n v="3516"/>
    <x v="131"/>
    <x v="1"/>
    <x v="284"/>
    <x v="0"/>
    <x v="1"/>
    <x v="1"/>
    <s v="No"/>
    <x v="1"/>
    <s v="No"/>
    <n v="0"/>
    <n v="0"/>
    <n v="5"/>
  </r>
  <r>
    <n v="3517"/>
    <x v="181"/>
    <x v="0"/>
    <x v="285"/>
    <x v="1"/>
    <x v="0"/>
    <x v="0"/>
    <s v="Yes"/>
    <x v="0"/>
    <s v="Yes"/>
    <n v="20"/>
    <n v="20"/>
    <n v="45"/>
  </r>
  <r>
    <n v="3518"/>
    <x v="272"/>
    <x v="2"/>
    <x v="286"/>
    <x v="0"/>
    <x v="2"/>
    <x v="2"/>
    <s v="No"/>
    <x v="1"/>
    <s v="Yes"/>
    <n v="20"/>
    <n v="12"/>
    <n v="18"/>
  </r>
  <r>
    <n v="3519"/>
    <x v="273"/>
    <x v="1"/>
    <x v="287"/>
    <x v="1"/>
    <x v="1"/>
    <x v="0"/>
    <s v="No"/>
    <x v="1"/>
    <s v="No"/>
    <n v="0"/>
    <n v="2"/>
    <n v="3"/>
  </r>
  <r>
    <n v="3520"/>
    <x v="274"/>
    <x v="0"/>
    <x v="288"/>
    <x v="0"/>
    <x v="0"/>
    <x v="1"/>
    <s v="Yes"/>
    <x v="0"/>
    <s v="Yes"/>
    <n v="20"/>
    <n v="5"/>
    <n v="60"/>
  </r>
  <r>
    <n v="3521"/>
    <x v="275"/>
    <x v="2"/>
    <x v="289"/>
    <x v="1"/>
    <x v="2"/>
    <x v="0"/>
    <s v="No"/>
    <x v="1"/>
    <s v="Yes"/>
    <n v="20"/>
    <n v="10"/>
    <n v="20"/>
  </r>
  <r>
    <n v="3522"/>
    <x v="276"/>
    <x v="1"/>
    <x v="290"/>
    <x v="0"/>
    <x v="1"/>
    <x v="2"/>
    <s v="No"/>
    <x v="1"/>
    <s v="No"/>
    <n v="0"/>
    <n v="0"/>
    <n v="5"/>
  </r>
  <r>
    <n v="3523"/>
    <x v="277"/>
    <x v="0"/>
    <x v="291"/>
    <x v="1"/>
    <x v="0"/>
    <x v="0"/>
    <s v="Yes"/>
    <x v="0"/>
    <s v="Yes"/>
    <n v="20"/>
    <n v="3"/>
    <n v="62"/>
  </r>
  <r>
    <n v="3524"/>
    <x v="278"/>
    <x v="2"/>
    <x v="292"/>
    <x v="0"/>
    <x v="2"/>
    <x v="1"/>
    <s v="No"/>
    <x v="1"/>
    <s v="Yes"/>
    <n v="20"/>
    <n v="15"/>
    <n v="15"/>
  </r>
  <r>
    <n v="3525"/>
    <x v="279"/>
    <x v="1"/>
    <x v="293"/>
    <x v="1"/>
    <x v="1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B83424-968B-41CC-9CF7-91D1CB876D39}" name="Tabela dinâmica4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>
  <location ref="B64:C77" firstHeaderRow="1" firstDataRow="1" firstDataCol="1"/>
  <pivotFields count="15">
    <pivotField showAll="0"/>
    <pivotField showAll="0"/>
    <pivotField showAll="0"/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/>
    <pivotField numFmtId="44" showAll="0"/>
    <pivotField showAll="0"/>
    <pivotField showAll="0"/>
    <pivotField showAll="0"/>
    <pivotField showAll="0"/>
    <pivotField numFmtId="44" showAll="0"/>
    <pivotField numFmtId="44" showAll="0"/>
    <pivotField dataField="1" numFmtId="44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4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oma de Total Value" fld="12" baseField="0" baseItem="0" numFmtId="44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B98C58-8115-4A3D-9040-E7DDB00EADC7}" name="Tabela dinâmica3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B43:E57" firstHeaderRow="1" firstDataRow="2" firstDataCol="1"/>
  <pivotFields count="15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axis="axisCol" dataField="1" showAll="0">
      <items count="3">
        <item x="1"/>
        <item x="0"/>
        <item t="default"/>
      </items>
    </pivotField>
    <pivotField numFmtId="44"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numFmtId="4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2">
    <field x="2"/>
    <field x="6"/>
  </rowFields>
  <rowItems count="13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Contagem de Auto Renewal" fld="4" subtotal="count" baseField="4" baseItem="1"/>
  </dataFields>
  <formats count="27">
    <format dxfId="0">
      <pivotArea collapsedLevelsAreSubtotals="1" fieldPosition="0">
        <references count="2">
          <reference field="2" count="1">
            <x v="0"/>
          </reference>
          <reference field="4" count="1" selected="0">
            <x v="0"/>
          </reference>
        </references>
      </pivotArea>
    </format>
    <format dxfId="1">
      <pivotArea collapsedLevelsAreSubtotals="1" fieldPosition="0">
        <references count="3">
          <reference field="2" count="1" selected="0">
            <x v="0"/>
          </reference>
          <reference field="4" count="1" selected="0">
            <x v="0"/>
          </reference>
          <reference field="6" count="0"/>
        </references>
      </pivotArea>
    </format>
    <format dxfId="2">
      <pivotArea collapsedLevelsAreSubtotals="1" fieldPosition="0">
        <references count="2">
          <reference field="2" count="1">
            <x v="1"/>
          </reference>
          <reference field="4" count="1" selected="0">
            <x v="0"/>
          </reference>
        </references>
      </pivotArea>
    </format>
    <format dxfId="3">
      <pivotArea dataOnly="0" labelOnly="1" fieldPosition="0">
        <references count="1">
          <reference field="4" count="1">
            <x v="0"/>
          </reference>
        </references>
      </pivotArea>
    </format>
    <format dxfId="4">
      <pivotArea collapsedLevelsAreSubtotals="1" fieldPosition="0">
        <references count="2">
          <reference field="2" count="1">
            <x v="0"/>
          </reference>
          <reference field="4" count="1" selected="0">
            <x v="1"/>
          </reference>
        </references>
      </pivotArea>
    </format>
    <format dxfId="5">
      <pivotArea collapsedLevelsAreSubtotals="1" fieldPosition="0">
        <references count="3">
          <reference field="2" count="1" selected="0">
            <x v="0"/>
          </reference>
          <reference field="4" count="1" selected="0">
            <x v="1"/>
          </reference>
          <reference field="6" count="0"/>
        </references>
      </pivotArea>
    </format>
    <format dxfId="6">
      <pivotArea collapsedLevelsAreSubtotals="1" fieldPosition="0">
        <references count="2">
          <reference field="2" count="1">
            <x v="1"/>
          </reference>
          <reference field="4" count="1" selected="0">
            <x v="1"/>
          </reference>
        </references>
      </pivotArea>
    </format>
    <format dxfId="7">
      <pivotArea dataOnly="0" labelOnly="1" fieldPosition="0">
        <references count="1">
          <reference field="4" count="1">
            <x v="1"/>
          </reference>
        </references>
      </pivotArea>
    </format>
    <format dxfId="8">
      <pivotArea collapsedLevelsAreSubtotals="1" fieldPosition="0">
        <references count="2">
          <reference field="2" count="1">
            <x v="0"/>
          </reference>
          <reference field="4" count="1" selected="0">
            <x v="1"/>
          </reference>
        </references>
      </pivotArea>
    </format>
    <format dxfId="9">
      <pivotArea collapsedLevelsAreSubtotals="1" fieldPosition="0">
        <references count="3">
          <reference field="2" count="1" selected="0">
            <x v="0"/>
          </reference>
          <reference field="4" count="1" selected="0">
            <x v="1"/>
          </reference>
          <reference field="6" count="0"/>
        </references>
      </pivotArea>
    </format>
    <format dxfId="10">
      <pivotArea collapsedLevelsAreSubtotals="1" fieldPosition="0">
        <references count="2">
          <reference field="2" count="1">
            <x v="1"/>
          </reference>
          <reference field="4" count="1" selected="0">
            <x v="1"/>
          </reference>
        </references>
      </pivotArea>
    </format>
    <format dxfId="11">
      <pivotArea dataOnly="0" labelOnly="1" fieldPosition="0">
        <references count="1">
          <reference field="4" count="1">
            <x v="1"/>
          </reference>
        </references>
      </pivotArea>
    </format>
    <format dxfId="12">
      <pivotArea collapsedLevelsAreSubtotals="1" fieldPosition="0">
        <references count="2">
          <reference field="2" count="1">
            <x v="0"/>
          </reference>
          <reference field="4" count="1" selected="0">
            <x v="0"/>
          </reference>
        </references>
      </pivotArea>
    </format>
    <format dxfId="13">
      <pivotArea collapsedLevelsAreSubtotals="1" fieldPosition="0">
        <references count="3">
          <reference field="2" count="1" selected="0">
            <x v="0"/>
          </reference>
          <reference field="4" count="1" selected="0">
            <x v="0"/>
          </reference>
          <reference field="6" count="0"/>
        </references>
      </pivotArea>
    </format>
    <format dxfId="14">
      <pivotArea collapsedLevelsAreSubtotals="1" fieldPosition="0">
        <references count="2">
          <reference field="2" count="1">
            <x v="1"/>
          </reference>
          <reference field="4" count="1" selected="0">
            <x v="0"/>
          </reference>
        </references>
      </pivotArea>
    </format>
    <format dxfId="15">
      <pivotArea dataOnly="0" labelOnly="1" fieldPosition="0">
        <references count="1">
          <reference field="4" count="1">
            <x v="0"/>
          </reference>
        </references>
      </pivotArea>
    </format>
    <format dxfId="16">
      <pivotArea field="2" grandCol="1" collapsedLevelsAreSubtotals="1" axis="axisRow" fieldPosition="0">
        <references count="1">
          <reference field="2" count="1">
            <x v="0"/>
          </reference>
        </references>
      </pivotArea>
    </format>
    <format dxfId="17">
      <pivotArea field="6" grandCol="1" collapsedLevelsAreSubtotals="1" axis="axisRow" fieldPosition="1">
        <references count="2">
          <reference field="2" count="1" selected="0">
            <x v="0"/>
          </reference>
          <reference field="6" count="0"/>
        </references>
      </pivotArea>
    </format>
    <format dxfId="18">
      <pivotArea field="2" grandCol="1" collapsedLevelsAreSubtotals="1" axis="axisRow" fieldPosition="0">
        <references count="1">
          <reference field="2" count="1">
            <x v="1"/>
          </reference>
        </references>
      </pivotArea>
    </format>
    <format dxfId="19">
      <pivotArea collapsedLevelsAreSubtotals="1" fieldPosition="0">
        <references count="2">
          <reference field="2" count="1" selected="0">
            <x v="1"/>
          </reference>
          <reference field="6" count="0"/>
        </references>
      </pivotArea>
    </format>
    <format dxfId="20">
      <pivotArea collapsedLevelsAreSubtotals="1" fieldPosition="0">
        <references count="1">
          <reference field="2" count="1">
            <x v="2"/>
          </reference>
        </references>
      </pivotArea>
    </format>
    <format dxfId="21">
      <pivotArea collapsedLevelsAreSubtotals="1" fieldPosition="0">
        <references count="2">
          <reference field="2" count="1" selected="0">
            <x v="2"/>
          </reference>
          <reference field="6" count="0"/>
        </references>
      </pivotArea>
    </format>
    <format dxfId="22">
      <pivotArea grandRow="1" outline="0" collapsedLevelsAreSubtotals="1" fieldPosition="0"/>
    </format>
    <format dxfId="23">
      <pivotArea collapsedLevelsAreSubtotals="1" fieldPosition="0">
        <references count="2">
          <reference field="2" count="1" selected="0">
            <x v="1"/>
          </reference>
          <reference field="6" count="0"/>
        </references>
      </pivotArea>
    </format>
    <format dxfId="24">
      <pivotArea collapsedLevelsAreSubtotals="1" fieldPosition="0">
        <references count="1">
          <reference field="2" count="1">
            <x v="2"/>
          </reference>
        </references>
      </pivotArea>
    </format>
    <format dxfId="25">
      <pivotArea collapsedLevelsAreSubtotals="1" fieldPosition="0">
        <references count="2">
          <reference field="2" count="1" selected="0">
            <x v="2"/>
          </reference>
          <reference field="6" count="0"/>
        </references>
      </pivotArea>
    </format>
    <format dxfId="26">
      <pivotArea grandRow="1" outline="0" collapsedLevelsAreSubtotals="1" fieldPosition="0"/>
    </format>
  </formats>
  <chartFormats count="20"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" format="6">
      <pivotArea type="data" outline="0" fieldPosition="0">
        <references count="4">
          <reference field="4294967294" count="1" selected="0">
            <x v="0"/>
          </reference>
          <reference field="2" count="1" selected="0">
            <x v="0"/>
          </reference>
          <reference field="4" count="1" selected="0">
            <x v="0"/>
          </reference>
          <reference field="6" count="1" selected="0">
            <x v="0"/>
          </reference>
        </references>
      </pivotArea>
    </chartFormat>
    <chartFormat chart="2" format="7">
      <pivotArea type="data" outline="0" fieldPosition="0">
        <references count="4">
          <reference field="4294967294" count="1" selected="0">
            <x v="0"/>
          </reference>
          <reference field="2" count="1" selected="0">
            <x v="0"/>
          </reference>
          <reference field="4" count="1" selected="0">
            <x v="0"/>
          </reference>
          <reference field="6" count="1" selected="0">
            <x v="1"/>
          </reference>
        </references>
      </pivotArea>
    </chartFormat>
    <chartFormat chart="2" format="8">
      <pivotArea type="data" outline="0" fieldPosition="0">
        <references count="4">
          <reference field="4294967294" count="1" selected="0">
            <x v="0"/>
          </reference>
          <reference field="2" count="1" selected="0">
            <x v="1"/>
          </reference>
          <reference field="4" count="1" selected="0">
            <x v="0"/>
          </reference>
          <reference field="6" count="1" selected="0">
            <x v="1"/>
          </reference>
        </references>
      </pivotArea>
    </chartFormat>
    <chartFormat chart="2" format="9">
      <pivotArea type="data" outline="0" fieldPosition="0">
        <references count="4">
          <reference field="4294967294" count="1" selected="0">
            <x v="0"/>
          </reference>
          <reference field="2" count="1" selected="0">
            <x v="0"/>
          </reference>
          <reference field="4" count="1" selected="0">
            <x v="0"/>
          </reference>
          <reference field="6" count="1" selected="0">
            <x v="2"/>
          </reference>
        </references>
      </pivotArea>
    </chartFormat>
    <chartFormat chart="2" format="10">
      <pivotArea type="data" outline="0" fieldPosition="0">
        <references count="4">
          <reference field="4294967294" count="1" selected="0">
            <x v="0"/>
          </reference>
          <reference field="2" count="1" selected="0">
            <x v="1"/>
          </reference>
          <reference field="4" count="1" selected="0">
            <x v="0"/>
          </reference>
          <reference field="6" count="1" selected="0">
            <x v="0"/>
          </reference>
        </references>
      </pivotArea>
    </chartFormat>
    <chartFormat chart="2" format="11">
      <pivotArea type="data" outline="0" fieldPosition="0">
        <references count="4">
          <reference field="4294967294" count="1" selected="0">
            <x v="0"/>
          </reference>
          <reference field="2" count="1" selected="0">
            <x v="2"/>
          </reference>
          <reference field="4" count="1" selected="0">
            <x v="0"/>
          </reference>
          <reference field="6" count="1" selected="0">
            <x v="1"/>
          </reference>
        </references>
      </pivotArea>
    </chartFormat>
    <chartFormat chart="2" format="12">
      <pivotArea type="data" outline="0" fieldPosition="0">
        <references count="4">
          <reference field="4294967294" count="1" selected="0">
            <x v="0"/>
          </reference>
          <reference field="2" count="1" selected="0">
            <x v="2"/>
          </reference>
          <reference field="4" count="1" selected="0">
            <x v="0"/>
          </reference>
          <reference field="6" count="1" selected="0">
            <x v="0"/>
          </reference>
        </references>
      </pivotArea>
    </chartFormat>
    <chartFormat chart="2" format="13">
      <pivotArea type="data" outline="0" fieldPosition="0">
        <references count="4">
          <reference field="4294967294" count="1" selected="0">
            <x v="0"/>
          </reference>
          <reference field="2" count="1" selected="0">
            <x v="2"/>
          </reference>
          <reference field="4" count="1" selected="0">
            <x v="0"/>
          </reference>
          <reference field="6" count="1" selected="0">
            <x v="2"/>
          </reference>
        </references>
      </pivotArea>
    </chartFormat>
    <chartFormat chart="2" format="14">
      <pivotArea type="data" outline="0" fieldPosition="0">
        <references count="4">
          <reference field="4294967294" count="1" selected="0">
            <x v="0"/>
          </reference>
          <reference field="2" count="1" selected="0">
            <x v="1"/>
          </reference>
          <reference field="4" count="1" selected="0">
            <x v="0"/>
          </reference>
          <reference field="6" count="1" selected="0">
            <x v="2"/>
          </reference>
        </references>
      </pivotArea>
    </chartFormat>
    <chartFormat chart="2" format="15">
      <pivotArea type="data" outline="0" fieldPosition="0">
        <references count="4">
          <reference field="4294967294" count="1" selected="0">
            <x v="0"/>
          </reference>
          <reference field="2" count="1" selected="0">
            <x v="0"/>
          </reference>
          <reference field="4" count="1" selected="0">
            <x v="1"/>
          </reference>
          <reference field="6" count="1" selected="0">
            <x v="0"/>
          </reference>
        </references>
      </pivotArea>
    </chartFormat>
    <chartFormat chart="2" format="16">
      <pivotArea type="data" outline="0" fieldPosition="0">
        <references count="4">
          <reference field="4294967294" count="1" selected="0">
            <x v="0"/>
          </reference>
          <reference field="2" count="1" selected="0">
            <x v="0"/>
          </reference>
          <reference field="4" count="1" selected="0">
            <x v="1"/>
          </reference>
          <reference field="6" count="1" selected="0">
            <x v="1"/>
          </reference>
        </references>
      </pivotArea>
    </chartFormat>
    <chartFormat chart="2" format="17">
      <pivotArea type="data" outline="0" fieldPosition="0">
        <references count="4">
          <reference field="4294967294" count="1" selected="0">
            <x v="0"/>
          </reference>
          <reference field="2" count="1" selected="0">
            <x v="0"/>
          </reference>
          <reference field="4" count="1" selected="0">
            <x v="1"/>
          </reference>
          <reference field="6" count="1" selected="0">
            <x v="2"/>
          </reference>
        </references>
      </pivotArea>
    </chartFormat>
    <chartFormat chart="2" format="18">
      <pivotArea type="data" outline="0" fieldPosition="0">
        <references count="4">
          <reference field="4294967294" count="1" selected="0">
            <x v="0"/>
          </reference>
          <reference field="2" count="1" selected="0">
            <x v="1"/>
          </reference>
          <reference field="4" count="1" selected="0">
            <x v="1"/>
          </reference>
          <reference field="6" count="1" selected="0">
            <x v="0"/>
          </reference>
        </references>
      </pivotArea>
    </chartFormat>
    <chartFormat chart="2" format="19">
      <pivotArea type="data" outline="0" fieldPosition="0">
        <references count="4">
          <reference field="4294967294" count="1" selected="0">
            <x v="0"/>
          </reference>
          <reference field="2" count="1" selected="0">
            <x v="1"/>
          </reference>
          <reference field="4" count="1" selected="0">
            <x v="1"/>
          </reference>
          <reference field="6" count="1" selected="0">
            <x v="1"/>
          </reference>
        </references>
      </pivotArea>
    </chartFormat>
    <chartFormat chart="2" format="20">
      <pivotArea type="data" outline="0" fieldPosition="0">
        <references count="4">
          <reference field="4294967294" count="1" selected="0">
            <x v="0"/>
          </reference>
          <reference field="2" count="1" selected="0">
            <x v="1"/>
          </reference>
          <reference field="4" count="1" selected="0">
            <x v="1"/>
          </reference>
          <reference field="6" count="1" selected="0">
            <x v="2"/>
          </reference>
        </references>
      </pivotArea>
    </chartFormat>
    <chartFormat chart="2" format="21">
      <pivotArea type="data" outline="0" fieldPosition="0">
        <references count="4">
          <reference field="4294967294" count="1" selected="0">
            <x v="0"/>
          </reference>
          <reference field="2" count="1" selected="0">
            <x v="2"/>
          </reference>
          <reference field="4" count="1" selected="0">
            <x v="1"/>
          </reference>
          <reference field="6" count="1" selected="0">
            <x v="1"/>
          </reference>
        </references>
      </pivotArea>
    </chartFormat>
    <chartFormat chart="2" format="22">
      <pivotArea type="data" outline="0" fieldPosition="0">
        <references count="4">
          <reference field="4294967294" count="1" selected="0">
            <x v="0"/>
          </reference>
          <reference field="2" count="1" selected="0">
            <x v="2"/>
          </reference>
          <reference field="4" count="1" selected="0">
            <x v="1"/>
          </reference>
          <reference field="6" count="1" selected="0">
            <x v="2"/>
          </reference>
        </references>
      </pivotArea>
    </chartFormat>
    <chartFormat chart="2" format="23">
      <pivotArea type="data" outline="0" fieldPosition="0">
        <references count="4">
          <reference field="4294967294" count="1" selected="0">
            <x v="0"/>
          </reference>
          <reference field="2" count="1" selected="0">
            <x v="2"/>
          </reference>
          <reference field="4" count="1" selected="0">
            <x v="1"/>
          </reference>
          <reference field="6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005490-F2B6-45E1-A8C2-E59BAE3E3FBC}" name="tbl_easeasonpass_total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21:C25" firstHeaderRow="1" firstDataRow="1" firstDataCol="1" rowPageCount="1" colPageCount="1"/>
  <pivotFields count="15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786295-8353-4BE2-9C12-200F15B8EF15}" name="tbl_annual_total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11:C14" firstHeaderRow="1" firstDataRow="1" firstDataCol="1" rowPageCount="1" colPageCount="1"/>
  <pivotFields count="15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chartFormats count="2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E17BE4-EBDD-4E6C-AABB-48C907DB6551}" name="Tabela dinâmica9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32:C36" firstHeaderRow="1" firstDataRow="1" firstDataCol="1" rowPageCount="1" colPageCount="1"/>
  <pivotFields count="15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C1AC8210-3CE9-44E0-963C-9922D0D2DE4E}" sourceName="Subscription Type">
  <pivotTables>
    <pivotTable tabId="3" name="tbl_annual_total"/>
    <pivotTable tabId="3" name="tbl_easeasonpass_total"/>
    <pivotTable tabId="3" name="Tabela dinâmica9"/>
  </pivotTables>
  <data>
    <tabular pivotCacheId="1765956580">
      <items count="3">
        <i x="1" s="1"/>
        <i x="0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26A61517-A6D6-4A95-9864-F0B00789349A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40">
  <autoFilter ref="A1:M296" xr:uid="{34E0E886-4200-4B36-97B3-63DB74FF40A0}"/>
  <tableColumns count="13">
    <tableColumn id="1" xr3:uid="{C4A90516-688A-46BF-9167-EA16C2A8A652}" name="Subscriber ID" dataDxfId="39"/>
    <tableColumn id="2" xr3:uid="{53DD39D0-2220-4121-9E9D-4EAA7E151C0F}" name="Name" dataDxfId="38"/>
    <tableColumn id="3" xr3:uid="{4F5FF271-4C57-4BE0-8F2C-F82C8551625C}" name="Plan" dataDxfId="37"/>
    <tableColumn id="4" xr3:uid="{8C17EB93-79B9-4E55-B8F7-BEB82F8253E9}" name="Start Date" dataDxfId="36"/>
    <tableColumn id="5" xr3:uid="{48CEDF9B-1689-482A-A828-5CCE7713264A}" name="Auto Renewal" dataDxfId="35"/>
    <tableColumn id="6" xr3:uid="{78B82374-9AA7-4E38-AE4F-78CDE6C83720}" name="Subscription Price" dataDxfId="34" dataCellStyle="Moeda"/>
    <tableColumn id="7" xr3:uid="{F2433F68-AF33-49D0-B1FB-19A396074EDE}" name="Subscription Type" dataDxfId="33"/>
    <tableColumn id="8" xr3:uid="{FD4D9C95-F6E5-4933-9068-A71FF7DF9343}" name="EA Play Season Pass" dataDxfId="32"/>
    <tableColumn id="13" xr3:uid="{978DD0D2-834E-4CE4-A39B-30976086932F}" name="EA Play Season Pass_x000a_Price" dataDxfId="31" dataCellStyle="Moeda"/>
    <tableColumn id="9" xr3:uid="{6E29F111-C395-4580-9DAD-3407D9E8B1A4}" name="Minecraft Season Pass" dataDxfId="30"/>
    <tableColumn id="10" xr3:uid="{EF544EAA-7F25-4FD5-A10E-8E62804DB9E3}" name="Minecraft Season Pass Price" dataDxfId="29" dataCellStyle="Moeda"/>
    <tableColumn id="11" xr3:uid="{7F6EB64A-1F07-4E48-9F0F-AC7D9DCD26F8}" name="Coupon Value" dataDxfId="28" dataCellStyle="Moeda"/>
    <tableColumn id="12" xr3:uid="{2B04ABC8-DE6F-426E-ADC0-D8AFC68CA58E}" name="Total Value" dataDxfId="27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rinterSettings" Target="../printerSettings/printerSettings1.bin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AC22" sqref="AC22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R1" zoomScale="90" zoomScaleNormal="90" workbookViewId="0">
      <selection activeCell="O15" sqref="O15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315</v>
      </c>
      <c r="G1" s="9" t="s">
        <v>16</v>
      </c>
      <c r="H1" s="9" t="s">
        <v>312</v>
      </c>
      <c r="I1" s="9" t="s">
        <v>313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314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314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314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314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314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314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314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314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314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314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314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314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314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314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314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314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314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314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314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314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314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314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314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314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314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314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314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314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314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314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314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314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314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314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314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314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314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314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314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314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314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314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314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314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314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314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314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314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314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314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314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314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314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314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314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314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314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314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314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314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314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314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314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314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314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314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314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314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314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314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314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314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314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314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314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314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314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314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314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314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314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314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314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314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314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314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314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314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314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314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314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314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314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314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314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314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314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314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314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314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314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314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314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314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314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314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314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314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314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314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314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314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314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314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314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314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314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314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314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314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314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314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314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314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314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314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314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314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314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314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314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314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314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314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314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314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314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314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314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314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314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314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314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314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314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314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314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314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314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314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314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314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314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314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314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314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314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314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314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314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314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314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314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314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314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314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314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314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314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314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314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314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314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314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314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314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314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314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314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314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314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314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314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314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314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314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314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314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314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314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314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314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314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314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314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314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314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dimension ref="B3:F77"/>
  <sheetViews>
    <sheetView showGridLines="0" topLeftCell="L1" workbookViewId="0">
      <selection activeCell="O15" sqref="O15"/>
    </sheetView>
  </sheetViews>
  <sheetFormatPr defaultRowHeight="15" x14ac:dyDescent="0.25"/>
  <cols>
    <col min="2" max="2" width="18.42578125" bestFit="1" customWidth="1"/>
    <col min="3" max="3" width="35.140625" bestFit="1" customWidth="1"/>
    <col min="4" max="4" width="4.28515625" bestFit="1" customWidth="1"/>
    <col min="5" max="5" width="12.28515625" bestFit="1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3" spans="2:6" x14ac:dyDescent="0.25">
      <c r="B3" s="19" t="s">
        <v>317</v>
      </c>
      <c r="C3" s="19"/>
      <c r="D3" s="19"/>
      <c r="E3" s="19"/>
      <c r="F3" s="19"/>
    </row>
    <row r="6" spans="2:6" x14ac:dyDescent="0.25">
      <c r="B6" t="s">
        <v>318</v>
      </c>
    </row>
    <row r="7" spans="2:6" x14ac:dyDescent="0.25">
      <c r="B7" t="s">
        <v>320</v>
      </c>
    </row>
    <row r="9" spans="2:6" x14ac:dyDescent="0.25">
      <c r="B9" s="12" t="s">
        <v>16</v>
      </c>
      <c r="C9" t="s">
        <v>324</v>
      </c>
    </row>
    <row r="11" spans="2:6" x14ac:dyDescent="0.25">
      <c r="B11" s="12" t="s">
        <v>309</v>
      </c>
      <c r="C11" t="s">
        <v>319</v>
      </c>
    </row>
    <row r="12" spans="2:6" x14ac:dyDescent="0.25">
      <c r="B12" s="14" t="s">
        <v>23</v>
      </c>
      <c r="C12" s="13">
        <v>3847</v>
      </c>
    </row>
    <row r="13" spans="2:6" x14ac:dyDescent="0.25">
      <c r="B13" s="14" t="s">
        <v>19</v>
      </c>
      <c r="C13" s="13">
        <v>3786</v>
      </c>
    </row>
    <row r="14" spans="2:6" x14ac:dyDescent="0.25">
      <c r="B14" s="14" t="s">
        <v>310</v>
      </c>
      <c r="C14" s="13">
        <v>7633</v>
      </c>
    </row>
    <row r="17" spans="2:5" x14ac:dyDescent="0.25">
      <c r="B17" s="14" t="s">
        <v>321</v>
      </c>
    </row>
    <row r="19" spans="2:5" x14ac:dyDescent="0.25">
      <c r="B19" s="12" t="s">
        <v>16</v>
      </c>
      <c r="C19" t="s">
        <v>324</v>
      </c>
    </row>
    <row r="21" spans="2:5" x14ac:dyDescent="0.25">
      <c r="B21" s="12" t="s">
        <v>309</v>
      </c>
      <c r="C21" t="s">
        <v>316</v>
      </c>
    </row>
    <row r="22" spans="2:5" x14ac:dyDescent="0.25">
      <c r="B22" s="14" t="s">
        <v>22</v>
      </c>
      <c r="C22" s="20">
        <v>0</v>
      </c>
    </row>
    <row r="23" spans="2:5" x14ac:dyDescent="0.25">
      <c r="B23" s="14" t="s">
        <v>26</v>
      </c>
      <c r="C23" s="20">
        <v>0</v>
      </c>
    </row>
    <row r="24" spans="2:5" x14ac:dyDescent="0.25">
      <c r="B24" s="14" t="s">
        <v>18</v>
      </c>
      <c r="C24" s="20">
        <v>2940</v>
      </c>
    </row>
    <row r="25" spans="2:5" x14ac:dyDescent="0.25">
      <c r="B25" s="14" t="s">
        <v>310</v>
      </c>
      <c r="C25" s="20">
        <v>2940</v>
      </c>
      <c r="E25" s="16">
        <f>GETPIVOTDATA("EA Play Season Pass
Price",$B$21)</f>
        <v>2940</v>
      </c>
    </row>
    <row r="28" spans="2:5" x14ac:dyDescent="0.25">
      <c r="B28" s="14" t="s">
        <v>322</v>
      </c>
    </row>
    <row r="30" spans="2:5" x14ac:dyDescent="0.25">
      <c r="B30" s="12" t="s">
        <v>16</v>
      </c>
      <c r="C30" t="s">
        <v>324</v>
      </c>
    </row>
    <row r="32" spans="2:5" x14ac:dyDescent="0.25">
      <c r="B32" s="12" t="s">
        <v>309</v>
      </c>
      <c r="C32" t="s">
        <v>311</v>
      </c>
    </row>
    <row r="33" spans="2:5" x14ac:dyDescent="0.25">
      <c r="B33" s="14" t="s">
        <v>22</v>
      </c>
      <c r="C33" s="13">
        <v>0</v>
      </c>
    </row>
    <row r="34" spans="2:5" x14ac:dyDescent="0.25">
      <c r="B34" s="14" t="s">
        <v>26</v>
      </c>
      <c r="C34" s="13">
        <v>1920</v>
      </c>
    </row>
    <row r="35" spans="2:5" x14ac:dyDescent="0.25">
      <c r="B35" s="14" t="s">
        <v>18</v>
      </c>
      <c r="C35" s="13">
        <v>1960</v>
      </c>
    </row>
    <row r="36" spans="2:5" x14ac:dyDescent="0.25">
      <c r="B36" s="14" t="s">
        <v>310</v>
      </c>
      <c r="C36" s="13">
        <v>3880</v>
      </c>
      <c r="E36" s="16">
        <f>GETPIVOTDATA("Minecraft Season Pass Price",$B$32)</f>
        <v>3880</v>
      </c>
    </row>
    <row r="40" spans="2:5" x14ac:dyDescent="0.25">
      <c r="B40" t="s">
        <v>327</v>
      </c>
    </row>
    <row r="43" spans="2:5" x14ac:dyDescent="0.25">
      <c r="B43" s="12" t="s">
        <v>325</v>
      </c>
      <c r="C43" s="12" t="s">
        <v>326</v>
      </c>
    </row>
    <row r="44" spans="2:5" x14ac:dyDescent="0.25">
      <c r="B44" s="12" t="s">
        <v>309</v>
      </c>
      <c r="C44" s="23" t="s">
        <v>23</v>
      </c>
      <c r="D44" s="23" t="s">
        <v>19</v>
      </c>
      <c r="E44" t="s">
        <v>310</v>
      </c>
    </row>
    <row r="45" spans="2:5" x14ac:dyDescent="0.25">
      <c r="B45" s="14" t="s">
        <v>22</v>
      </c>
      <c r="C45" s="24">
        <v>50</v>
      </c>
      <c r="D45" s="24">
        <v>51</v>
      </c>
      <c r="E45" s="22">
        <v>101</v>
      </c>
    </row>
    <row r="46" spans="2:5" x14ac:dyDescent="0.25">
      <c r="B46" s="21" t="s">
        <v>24</v>
      </c>
      <c r="C46" s="24">
        <v>5</v>
      </c>
      <c r="D46" s="24">
        <v>19</v>
      </c>
      <c r="E46" s="22">
        <v>24</v>
      </c>
    </row>
    <row r="47" spans="2:5" x14ac:dyDescent="0.25">
      <c r="B47" s="21" t="s">
        <v>20</v>
      </c>
      <c r="C47" s="24">
        <v>37</v>
      </c>
      <c r="D47" s="24">
        <v>12</v>
      </c>
      <c r="E47" s="22">
        <v>49</v>
      </c>
    </row>
    <row r="48" spans="2:5" x14ac:dyDescent="0.25">
      <c r="B48" s="21" t="s">
        <v>27</v>
      </c>
      <c r="C48" s="24">
        <v>8</v>
      </c>
      <c r="D48" s="24">
        <v>20</v>
      </c>
      <c r="E48" s="22">
        <v>28</v>
      </c>
    </row>
    <row r="49" spans="2:6" x14ac:dyDescent="0.25">
      <c r="B49" s="14" t="s">
        <v>26</v>
      </c>
      <c r="C49" s="24">
        <v>47</v>
      </c>
      <c r="D49" s="24">
        <v>49</v>
      </c>
      <c r="E49" s="22">
        <v>96</v>
      </c>
    </row>
    <row r="50" spans="2:6" x14ac:dyDescent="0.25">
      <c r="B50" s="21" t="s">
        <v>24</v>
      </c>
      <c r="C50" s="24">
        <v>4</v>
      </c>
      <c r="D50" s="24">
        <v>23</v>
      </c>
      <c r="E50" s="24">
        <v>27</v>
      </c>
    </row>
    <row r="51" spans="2:6" x14ac:dyDescent="0.25">
      <c r="B51" s="21" t="s">
        <v>20</v>
      </c>
      <c r="C51" s="24">
        <v>40</v>
      </c>
      <c r="D51" s="24">
        <v>5</v>
      </c>
      <c r="E51" s="24">
        <v>45</v>
      </c>
    </row>
    <row r="52" spans="2:6" x14ac:dyDescent="0.25">
      <c r="B52" s="21" t="s">
        <v>27</v>
      </c>
      <c r="C52" s="24">
        <v>3</v>
      </c>
      <c r="D52" s="24">
        <v>21</v>
      </c>
      <c r="E52" s="24">
        <v>24</v>
      </c>
    </row>
    <row r="53" spans="2:6" x14ac:dyDescent="0.25">
      <c r="B53" s="14" t="s">
        <v>18</v>
      </c>
      <c r="C53" s="24">
        <v>50</v>
      </c>
      <c r="D53" s="24">
        <v>48</v>
      </c>
      <c r="E53" s="24">
        <v>98</v>
      </c>
    </row>
    <row r="54" spans="2:6" x14ac:dyDescent="0.25">
      <c r="B54" s="21" t="s">
        <v>24</v>
      </c>
      <c r="C54" s="24">
        <v>2</v>
      </c>
      <c r="D54" s="24">
        <v>18</v>
      </c>
      <c r="E54" s="24">
        <v>20</v>
      </c>
    </row>
    <row r="55" spans="2:6" x14ac:dyDescent="0.25">
      <c r="B55" s="21" t="s">
        <v>20</v>
      </c>
      <c r="C55" s="24">
        <v>34</v>
      </c>
      <c r="D55" s="24">
        <v>11</v>
      </c>
      <c r="E55" s="24">
        <v>45</v>
      </c>
    </row>
    <row r="56" spans="2:6" x14ac:dyDescent="0.25">
      <c r="B56" s="21" t="s">
        <v>27</v>
      </c>
      <c r="C56" s="24">
        <v>14</v>
      </c>
      <c r="D56" s="24">
        <v>19</v>
      </c>
      <c r="E56" s="24">
        <v>33</v>
      </c>
    </row>
    <row r="57" spans="2:6" x14ac:dyDescent="0.25">
      <c r="B57" s="14" t="s">
        <v>310</v>
      </c>
      <c r="C57" s="24">
        <v>147</v>
      </c>
      <c r="D57" s="24">
        <v>148</v>
      </c>
      <c r="E57" s="24">
        <v>295</v>
      </c>
      <c r="F57" s="25">
        <f>GETPIVOTDATA("Auto Renewal",C̳álculos!$B$43,"Auto Renewal","Yes")</f>
        <v>148</v>
      </c>
    </row>
    <row r="62" spans="2:6" x14ac:dyDescent="0.25">
      <c r="B62" t="s">
        <v>340</v>
      </c>
    </row>
    <row r="64" spans="2:6" x14ac:dyDescent="0.25">
      <c r="B64" s="12" t="s">
        <v>309</v>
      </c>
      <c r="C64" t="s">
        <v>319</v>
      </c>
    </row>
    <row r="65" spans="2:5" x14ac:dyDescent="0.25">
      <c r="B65" s="14" t="s">
        <v>328</v>
      </c>
      <c r="C65" s="13">
        <v>65</v>
      </c>
    </row>
    <row r="66" spans="2:5" x14ac:dyDescent="0.25">
      <c r="B66" s="14" t="s">
        <v>329</v>
      </c>
      <c r="C66" s="13">
        <v>82</v>
      </c>
    </row>
    <row r="67" spans="2:5" x14ac:dyDescent="0.25">
      <c r="B67" s="14" t="s">
        <v>330</v>
      </c>
      <c r="C67" s="13">
        <v>801</v>
      </c>
    </row>
    <row r="68" spans="2:5" x14ac:dyDescent="0.25">
      <c r="B68" s="14" t="s">
        <v>331</v>
      </c>
      <c r="C68" s="13">
        <v>782</v>
      </c>
    </row>
    <row r="69" spans="2:5" x14ac:dyDescent="0.25">
      <c r="B69" s="14" t="s">
        <v>332</v>
      </c>
      <c r="C69" s="13">
        <v>777</v>
      </c>
    </row>
    <row r="70" spans="2:5" x14ac:dyDescent="0.25">
      <c r="B70" s="14" t="s">
        <v>333</v>
      </c>
      <c r="C70" s="13">
        <v>770</v>
      </c>
    </row>
    <row r="71" spans="2:5" x14ac:dyDescent="0.25">
      <c r="B71" s="14" t="s">
        <v>334</v>
      </c>
      <c r="C71" s="13">
        <v>784</v>
      </c>
    </row>
    <row r="72" spans="2:5" x14ac:dyDescent="0.25">
      <c r="B72" s="14" t="s">
        <v>335</v>
      </c>
      <c r="C72" s="13">
        <v>787</v>
      </c>
    </row>
    <row r="73" spans="2:5" x14ac:dyDescent="0.25">
      <c r="B73" s="14" t="s">
        <v>336</v>
      </c>
      <c r="C73" s="13">
        <v>780</v>
      </c>
    </row>
    <row r="74" spans="2:5" x14ac:dyDescent="0.25">
      <c r="B74" s="14" t="s">
        <v>337</v>
      </c>
      <c r="C74" s="13">
        <v>832</v>
      </c>
    </row>
    <row r="75" spans="2:5" x14ac:dyDescent="0.25">
      <c r="B75" s="14" t="s">
        <v>338</v>
      </c>
      <c r="C75" s="13">
        <v>784</v>
      </c>
    </row>
    <row r="76" spans="2:5" x14ac:dyDescent="0.25">
      <c r="B76" s="14" t="s">
        <v>339</v>
      </c>
      <c r="C76" s="13">
        <v>389</v>
      </c>
    </row>
    <row r="77" spans="2:5" x14ac:dyDescent="0.25">
      <c r="B77" s="14" t="s">
        <v>310</v>
      </c>
      <c r="C77" s="13">
        <v>7633</v>
      </c>
      <c r="E77" s="26">
        <v>7633</v>
      </c>
    </row>
  </sheetData>
  <mergeCells count="1">
    <mergeCell ref="B3:F3"/>
  </mergeCells>
  <pageMargins left="0.511811024" right="0.511811024" top="0.78740157499999996" bottom="0.78740157499999996" header="0.31496062000000002" footer="0.31496062000000002"/>
  <pageSetup paperSize="9" orientation="portrait" r:id="rId6"/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S136"/>
  <sheetViews>
    <sheetView showGridLines="0" showRowColHeaders="0" tabSelected="1" zoomScale="60" zoomScaleNormal="60" workbookViewId="0">
      <selection activeCell="AC34" sqref="AC34"/>
    </sheetView>
  </sheetViews>
  <sheetFormatPr defaultRowHeight="15" x14ac:dyDescent="0.25"/>
  <cols>
    <col min="1" max="1" width="27.42578125" style="4" customWidth="1"/>
    <col min="2" max="2" width="3.5703125" customWidth="1"/>
    <col min="12" max="12" width="6.5703125" customWidth="1"/>
  </cols>
  <sheetData>
    <row r="2" spans="1:19" ht="27.75" customHeight="1" thickBot="1" x14ac:dyDescent="0.5">
      <c r="C2" s="18" t="s">
        <v>323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7"/>
      <c r="S2" s="17"/>
    </row>
    <row r="3" spans="1:19" ht="19.5" customHeight="1" thickTop="1" x14ac:dyDescent="0.25"/>
    <row r="4" spans="1:19" s="7" customFormat="1" ht="8.25" customHeight="1" x14ac:dyDescent="0.25">
      <c r="A4" s="4"/>
    </row>
    <row r="5" spans="1:19" s="7" customFormat="1" ht="7.5" customHeight="1" x14ac:dyDescent="0.25">
      <c r="A5" s="4"/>
    </row>
    <row r="6" spans="1:19" s="7" customFormat="1" ht="10.5" customHeight="1" x14ac:dyDescent="0.25">
      <c r="A6" s="4"/>
    </row>
    <row r="7" spans="1:19" s="7" customFormat="1" ht="9.75" customHeight="1" x14ac:dyDescent="0.25">
      <c r="A7" s="4"/>
    </row>
    <row r="8" spans="1:19" s="7" customFormat="1" ht="11.25" customHeight="1" x14ac:dyDescent="0.25">
      <c r="A8" s="4"/>
    </row>
    <row r="9" spans="1:19" s="7" customFormat="1" x14ac:dyDescent="0.25">
      <c r="A9" s="4"/>
    </row>
    <row r="10" spans="1:19" s="7" customFormat="1" x14ac:dyDescent="0.25">
      <c r="A10" s="4"/>
    </row>
    <row r="11" spans="1:19" s="7" customFormat="1" ht="14.25" customHeight="1" x14ac:dyDescent="0.25">
      <c r="A11" s="4"/>
    </row>
    <row r="12" spans="1:19" s="7" customFormat="1" x14ac:dyDescent="0.25">
      <c r="A12" s="4"/>
    </row>
    <row r="13" spans="1:19" s="7" customFormat="1" x14ac:dyDescent="0.25">
      <c r="A13" s="4"/>
    </row>
    <row r="14" spans="1:19" s="7" customFormat="1" x14ac:dyDescent="0.25">
      <c r="A14" s="4"/>
    </row>
    <row r="15" spans="1:19" s="7" customFormat="1" x14ac:dyDescent="0.25">
      <c r="A15" s="4"/>
    </row>
    <row r="16" spans="1:19" s="7" customFormat="1" x14ac:dyDescent="0.25">
      <c r="A16" s="4"/>
    </row>
    <row r="17" spans="1:1" s="7" customFormat="1" x14ac:dyDescent="0.25">
      <c r="A17" s="4"/>
    </row>
    <row r="18" spans="1:1" s="7" customFormat="1" x14ac:dyDescent="0.25">
      <c r="A18" s="4"/>
    </row>
    <row r="19" spans="1:1" s="7" customFormat="1" x14ac:dyDescent="0.25">
      <c r="A19" s="4"/>
    </row>
    <row r="20" spans="1:1" s="7" customFormat="1" x14ac:dyDescent="0.25">
      <c r="A20" s="4"/>
    </row>
    <row r="21" spans="1:1" s="7" customFormat="1" x14ac:dyDescent="0.25">
      <c r="A21" s="4"/>
    </row>
    <row r="22" spans="1:1" s="7" customFormat="1" x14ac:dyDescent="0.25">
      <c r="A22" s="4"/>
    </row>
    <row r="23" spans="1:1" s="7" customFormat="1" x14ac:dyDescent="0.25">
      <c r="A23" s="4"/>
    </row>
    <row r="24" spans="1:1" s="7" customFormat="1" x14ac:dyDescent="0.25">
      <c r="A24" s="4"/>
    </row>
    <row r="25" spans="1:1" s="7" customFormat="1" x14ac:dyDescent="0.25">
      <c r="A25" s="4"/>
    </row>
    <row r="26" spans="1:1" s="7" customFormat="1" x14ac:dyDescent="0.25">
      <c r="A26" s="4"/>
    </row>
    <row r="27" spans="1:1" s="7" customFormat="1" x14ac:dyDescent="0.25">
      <c r="A27" s="4"/>
    </row>
    <row r="28" spans="1:1" s="7" customFormat="1" x14ac:dyDescent="0.25">
      <c r="A28" s="4"/>
    </row>
    <row r="29" spans="1:1" s="7" customFormat="1" x14ac:dyDescent="0.25">
      <c r="A29" s="4"/>
    </row>
    <row r="30" spans="1:1" s="7" customFormat="1" x14ac:dyDescent="0.25">
      <c r="A30" s="4"/>
    </row>
    <row r="31" spans="1:1" s="7" customFormat="1" x14ac:dyDescent="0.25">
      <c r="A31" s="4"/>
    </row>
    <row r="32" spans="1:1" s="7" customFormat="1" x14ac:dyDescent="0.25">
      <c r="A32" s="4"/>
    </row>
    <row r="33" spans="1:1" s="7" customFormat="1" x14ac:dyDescent="0.25">
      <c r="A33" s="4"/>
    </row>
    <row r="34" spans="1:1" s="7" customFormat="1" x14ac:dyDescent="0.25">
      <c r="A34" s="4"/>
    </row>
    <row r="35" spans="1:1" s="7" customFormat="1" x14ac:dyDescent="0.25">
      <c r="A35" s="4"/>
    </row>
    <row r="36" spans="1:1" s="7" customFormat="1" x14ac:dyDescent="0.25">
      <c r="A36" s="4"/>
    </row>
    <row r="37" spans="1:1" s="7" customFormat="1" x14ac:dyDescent="0.25">
      <c r="A37" s="4"/>
    </row>
    <row r="38" spans="1:1" s="7" customFormat="1" x14ac:dyDescent="0.25">
      <c r="A38" s="4"/>
    </row>
    <row r="39" spans="1:1" s="7" customFormat="1" x14ac:dyDescent="0.25">
      <c r="A39" s="4"/>
    </row>
    <row r="40" spans="1:1" s="7" customFormat="1" x14ac:dyDescent="0.25">
      <c r="A40" s="4"/>
    </row>
    <row r="41" spans="1:1" s="7" customFormat="1" x14ac:dyDescent="0.25">
      <c r="A41" s="4"/>
    </row>
    <row r="42" spans="1:1" s="7" customFormat="1" x14ac:dyDescent="0.25">
      <c r="A42" s="4"/>
    </row>
    <row r="43" spans="1:1" s="7" customFormat="1" x14ac:dyDescent="0.25">
      <c r="A43" s="4"/>
    </row>
    <row r="44" spans="1:1" s="7" customFormat="1" x14ac:dyDescent="0.25">
      <c r="A44" s="4"/>
    </row>
    <row r="45" spans="1:1" s="7" customFormat="1" x14ac:dyDescent="0.25">
      <c r="A45" s="4"/>
    </row>
    <row r="46" spans="1:1" s="7" customFormat="1" x14ac:dyDescent="0.25">
      <c r="A46" s="4"/>
    </row>
    <row r="47" spans="1:1" s="7" customFormat="1" x14ac:dyDescent="0.25">
      <c r="A47" s="4"/>
    </row>
    <row r="48" spans="1:1" s="7" customFormat="1" x14ac:dyDescent="0.25">
      <c r="A48" s="4"/>
    </row>
    <row r="49" spans="1:1" s="7" customFormat="1" x14ac:dyDescent="0.25">
      <c r="A49" s="4"/>
    </row>
    <row r="50" spans="1:1" s="7" customFormat="1" x14ac:dyDescent="0.25">
      <c r="A50" s="4"/>
    </row>
    <row r="51" spans="1:1" s="7" customFormat="1" x14ac:dyDescent="0.25">
      <c r="A51" s="4"/>
    </row>
    <row r="52" spans="1:1" s="7" customFormat="1" x14ac:dyDescent="0.25">
      <c r="A52" s="4"/>
    </row>
    <row r="53" spans="1:1" s="7" customFormat="1" x14ac:dyDescent="0.25">
      <c r="A53" s="4"/>
    </row>
    <row r="54" spans="1:1" s="7" customFormat="1" x14ac:dyDescent="0.25">
      <c r="A54" s="4"/>
    </row>
    <row r="55" spans="1:1" s="7" customFormat="1" x14ac:dyDescent="0.25">
      <c r="A55" s="4"/>
    </row>
    <row r="56" spans="1:1" s="7" customFormat="1" x14ac:dyDescent="0.25">
      <c r="A56" s="4"/>
    </row>
    <row r="57" spans="1:1" s="7" customFormat="1" x14ac:dyDescent="0.25">
      <c r="A57" s="4"/>
    </row>
    <row r="58" spans="1:1" s="7" customFormat="1" x14ac:dyDescent="0.25">
      <c r="A58" s="4"/>
    </row>
    <row r="59" spans="1:1" s="7" customFormat="1" x14ac:dyDescent="0.25">
      <c r="A59" s="4"/>
    </row>
    <row r="60" spans="1:1" s="7" customFormat="1" x14ac:dyDescent="0.25">
      <c r="A60" s="4"/>
    </row>
    <row r="61" spans="1:1" s="7" customFormat="1" x14ac:dyDescent="0.25">
      <c r="A61" s="4"/>
    </row>
    <row r="62" spans="1:1" s="7" customFormat="1" x14ac:dyDescent="0.25">
      <c r="A62" s="4"/>
    </row>
    <row r="63" spans="1:1" s="7" customFormat="1" x14ac:dyDescent="0.25">
      <c r="A63" s="4"/>
    </row>
    <row r="64" spans="1:1" s="7" customFormat="1" x14ac:dyDescent="0.25">
      <c r="A64" s="4"/>
    </row>
    <row r="65" spans="1:1" s="7" customFormat="1" x14ac:dyDescent="0.25">
      <c r="A65" s="4"/>
    </row>
    <row r="66" spans="1:1" s="7" customFormat="1" x14ac:dyDescent="0.25">
      <c r="A66" s="4"/>
    </row>
    <row r="67" spans="1:1" s="7" customFormat="1" x14ac:dyDescent="0.25">
      <c r="A67" s="4"/>
    </row>
    <row r="68" spans="1:1" s="7" customFormat="1" x14ac:dyDescent="0.25">
      <c r="A68" s="4"/>
    </row>
    <row r="69" spans="1:1" s="7" customFormat="1" x14ac:dyDescent="0.25">
      <c r="A69" s="4"/>
    </row>
    <row r="70" spans="1:1" s="7" customFormat="1" x14ac:dyDescent="0.25">
      <c r="A70" s="4"/>
    </row>
    <row r="71" spans="1:1" s="7" customFormat="1" x14ac:dyDescent="0.25">
      <c r="A71" s="4"/>
    </row>
    <row r="72" spans="1:1" s="7" customFormat="1" x14ac:dyDescent="0.25">
      <c r="A72" s="4"/>
    </row>
    <row r="73" spans="1:1" s="7" customFormat="1" x14ac:dyDescent="0.25">
      <c r="A73" s="4"/>
    </row>
    <row r="74" spans="1:1" s="7" customFormat="1" x14ac:dyDescent="0.25">
      <c r="A74" s="4"/>
    </row>
    <row r="75" spans="1:1" s="7" customFormat="1" x14ac:dyDescent="0.25">
      <c r="A75" s="4"/>
    </row>
    <row r="76" spans="1:1" s="7" customFormat="1" x14ac:dyDescent="0.25">
      <c r="A76" s="4"/>
    </row>
    <row r="77" spans="1:1" s="7" customFormat="1" x14ac:dyDescent="0.25">
      <c r="A77" s="4"/>
    </row>
    <row r="78" spans="1:1" s="7" customFormat="1" x14ac:dyDescent="0.25">
      <c r="A78" s="4"/>
    </row>
    <row r="79" spans="1:1" s="7" customFormat="1" x14ac:dyDescent="0.25">
      <c r="A79" s="4"/>
    </row>
    <row r="80" spans="1:1" s="7" customFormat="1" x14ac:dyDescent="0.25">
      <c r="A80" s="4"/>
    </row>
    <row r="81" spans="1:1" s="7" customFormat="1" x14ac:dyDescent="0.25">
      <c r="A81" s="4"/>
    </row>
    <row r="82" spans="1:1" s="7" customFormat="1" x14ac:dyDescent="0.25">
      <c r="A82" s="4"/>
    </row>
    <row r="83" spans="1:1" s="7" customFormat="1" x14ac:dyDescent="0.25">
      <c r="A83" s="4"/>
    </row>
    <row r="84" spans="1:1" s="7" customFormat="1" x14ac:dyDescent="0.25">
      <c r="A84" s="4"/>
    </row>
    <row r="85" spans="1:1" s="7" customFormat="1" x14ac:dyDescent="0.25">
      <c r="A85" s="4"/>
    </row>
    <row r="86" spans="1:1" s="7" customFormat="1" x14ac:dyDescent="0.25">
      <c r="A86" s="4"/>
    </row>
    <row r="87" spans="1:1" s="7" customFormat="1" x14ac:dyDescent="0.25">
      <c r="A87" s="4"/>
    </row>
    <row r="88" spans="1:1" s="7" customFormat="1" x14ac:dyDescent="0.25">
      <c r="A88" s="4"/>
    </row>
    <row r="89" spans="1:1" s="7" customFormat="1" x14ac:dyDescent="0.25">
      <c r="A89" s="4"/>
    </row>
    <row r="90" spans="1:1" s="7" customFormat="1" x14ac:dyDescent="0.25">
      <c r="A90" s="4"/>
    </row>
    <row r="91" spans="1:1" s="7" customFormat="1" x14ac:dyDescent="0.25">
      <c r="A91" s="4"/>
    </row>
    <row r="92" spans="1:1" s="7" customFormat="1" x14ac:dyDescent="0.25">
      <c r="A92" s="4"/>
    </row>
    <row r="93" spans="1:1" s="7" customFormat="1" x14ac:dyDescent="0.25">
      <c r="A93" s="4"/>
    </row>
    <row r="94" spans="1:1" s="7" customFormat="1" x14ac:dyDescent="0.25">
      <c r="A94" s="4"/>
    </row>
    <row r="95" spans="1:1" s="7" customFormat="1" x14ac:dyDescent="0.25">
      <c r="A95" s="4"/>
    </row>
    <row r="96" spans="1:1" s="7" customFormat="1" x14ac:dyDescent="0.25">
      <c r="A96" s="4"/>
    </row>
    <row r="97" spans="1:1" s="7" customFormat="1" x14ac:dyDescent="0.25">
      <c r="A97" s="4"/>
    </row>
    <row r="98" spans="1:1" s="7" customFormat="1" x14ac:dyDescent="0.25">
      <c r="A98" s="4"/>
    </row>
    <row r="99" spans="1:1" s="7" customFormat="1" x14ac:dyDescent="0.25">
      <c r="A99" s="4"/>
    </row>
    <row r="100" spans="1:1" s="7" customFormat="1" x14ac:dyDescent="0.25">
      <c r="A100" s="4"/>
    </row>
    <row r="101" spans="1:1" s="7" customFormat="1" x14ac:dyDescent="0.25">
      <c r="A101" s="4"/>
    </row>
    <row r="102" spans="1:1" s="7" customFormat="1" x14ac:dyDescent="0.25">
      <c r="A102" s="4"/>
    </row>
    <row r="103" spans="1:1" s="7" customFormat="1" x14ac:dyDescent="0.25">
      <c r="A103" s="4"/>
    </row>
    <row r="104" spans="1:1" s="7" customFormat="1" x14ac:dyDescent="0.25">
      <c r="A104" s="4"/>
    </row>
    <row r="105" spans="1:1" s="7" customFormat="1" x14ac:dyDescent="0.25">
      <c r="A105" s="4"/>
    </row>
    <row r="106" spans="1:1" s="7" customFormat="1" x14ac:dyDescent="0.25">
      <c r="A106" s="4"/>
    </row>
    <row r="107" spans="1:1" s="7" customFormat="1" x14ac:dyDescent="0.25">
      <c r="A107" s="4"/>
    </row>
    <row r="108" spans="1:1" s="7" customFormat="1" x14ac:dyDescent="0.25">
      <c r="A108" s="4"/>
    </row>
    <row r="109" spans="1:1" s="7" customFormat="1" x14ac:dyDescent="0.25">
      <c r="A109" s="4"/>
    </row>
    <row r="110" spans="1:1" s="7" customFormat="1" x14ac:dyDescent="0.25">
      <c r="A110" s="4"/>
    </row>
    <row r="111" spans="1:1" s="7" customFormat="1" x14ac:dyDescent="0.25">
      <c r="A111" s="4"/>
    </row>
    <row r="112" spans="1:1" s="7" customFormat="1" x14ac:dyDescent="0.25">
      <c r="A112" s="4"/>
    </row>
    <row r="113" spans="1:1" s="7" customFormat="1" x14ac:dyDescent="0.25">
      <c r="A113" s="4"/>
    </row>
    <row r="114" spans="1:1" s="7" customFormat="1" x14ac:dyDescent="0.25">
      <c r="A114" s="4"/>
    </row>
    <row r="115" spans="1:1" s="7" customFormat="1" x14ac:dyDescent="0.25">
      <c r="A115" s="4"/>
    </row>
    <row r="116" spans="1:1" s="7" customFormat="1" x14ac:dyDescent="0.25">
      <c r="A116" s="4"/>
    </row>
    <row r="117" spans="1:1" s="7" customFormat="1" x14ac:dyDescent="0.25">
      <c r="A117" s="4"/>
    </row>
    <row r="118" spans="1:1" s="7" customFormat="1" x14ac:dyDescent="0.25">
      <c r="A118" s="4"/>
    </row>
    <row r="119" spans="1:1" s="7" customFormat="1" x14ac:dyDescent="0.25">
      <c r="A119" s="4"/>
    </row>
    <row r="120" spans="1:1" s="7" customFormat="1" x14ac:dyDescent="0.25">
      <c r="A120" s="4"/>
    </row>
    <row r="121" spans="1:1" s="7" customFormat="1" x14ac:dyDescent="0.25">
      <c r="A121" s="4"/>
    </row>
    <row r="122" spans="1:1" s="7" customFormat="1" x14ac:dyDescent="0.25">
      <c r="A122" s="4"/>
    </row>
    <row r="123" spans="1:1" s="7" customFormat="1" x14ac:dyDescent="0.25">
      <c r="A123" s="4"/>
    </row>
    <row r="124" spans="1:1" s="7" customFormat="1" x14ac:dyDescent="0.25">
      <c r="A124" s="4"/>
    </row>
    <row r="125" spans="1:1" s="7" customFormat="1" x14ac:dyDescent="0.25">
      <c r="A125" s="4"/>
    </row>
    <row r="126" spans="1:1" s="7" customFormat="1" x14ac:dyDescent="0.25">
      <c r="A126" s="4"/>
    </row>
    <row r="127" spans="1:1" s="7" customFormat="1" x14ac:dyDescent="0.25">
      <c r="A127" s="4"/>
    </row>
    <row r="128" spans="1:1" s="7" customFormat="1" x14ac:dyDescent="0.25">
      <c r="A128" s="4"/>
    </row>
    <row r="129" spans="1:1" s="7" customFormat="1" x14ac:dyDescent="0.25">
      <c r="A129" s="4"/>
    </row>
    <row r="130" spans="1:1" s="7" customFormat="1" x14ac:dyDescent="0.25">
      <c r="A130" s="4"/>
    </row>
    <row r="131" spans="1:1" s="7" customFormat="1" x14ac:dyDescent="0.25">
      <c r="A131" s="4"/>
    </row>
    <row r="132" spans="1:1" s="7" customFormat="1" x14ac:dyDescent="0.25">
      <c r="A132" s="4"/>
    </row>
    <row r="133" spans="1:1" s="7" customFormat="1" x14ac:dyDescent="0.25">
      <c r="A133" s="4"/>
    </row>
    <row r="134" spans="1:1" s="7" customFormat="1" x14ac:dyDescent="0.25">
      <c r="A134" s="4"/>
    </row>
    <row r="135" spans="1:1" s="7" customFormat="1" x14ac:dyDescent="0.25">
      <c r="A135" s="4"/>
    </row>
    <row r="136" spans="1:1" s="7" customFormat="1" x14ac:dyDescent="0.25">
      <c r="A136" s="4"/>
    </row>
  </sheetData>
  <pageMargins left="0.23622047244094491" right="0.23622047244094491" top="0.74803149606299213" bottom="0.74803149606299213" header="0.31496062992125984" footer="0.31496062992125984"/>
  <pageSetup paperSize="9" orientation="landscape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499037E4-A6E4-45D3-B93A-3D2B6A0C2B33}">
  <ds:schemaRefs>
    <ds:schemaRef ds:uri="http://purl.org/dc/dcmitype/"/>
    <ds:schemaRef ds:uri="http://www.w3.org/XML/1998/namespace"/>
    <ds:schemaRef ds:uri="http://purl.org/dc/terms/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19483571-f922-4e8e-9c1c-26f0a2252132"/>
    <ds:schemaRef ds:uri="851b35d3-0456-4d6a-bc2f-da927e91d158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B26109AA-4A63-4ABA-9238-1315B3F7EEA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6A6278B-0476-46CE-815A-3F41F43711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2EBEEA00-E414-4781-94E9-DD5985FE724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Renê Araujo Batista</cp:lastModifiedBy>
  <cp:lastPrinted>2025-10-18T02:35:42Z</cp:lastPrinted>
  <dcterms:created xsi:type="dcterms:W3CDTF">2024-12-19T13:13:10Z</dcterms:created>
  <dcterms:modified xsi:type="dcterms:W3CDTF">2025-10-18T02:40:51Z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